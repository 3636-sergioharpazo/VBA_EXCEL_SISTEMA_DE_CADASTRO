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Antonio Oliveira\Desktop\CrêSer\curso de informática\"/>
    </mc:Choice>
  </mc:AlternateContent>
  <xr:revisionPtr revIDLastSave="0" documentId="13_ncr:1_{7352E003-A20D-4D35-A7E6-510BCF14D3AF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onsulta" sheetId="1" r:id="rId1"/>
    <sheet name="Guia - Out2" sheetId="2" state="hidden" r:id="rId2"/>
    <sheet name="Exportacao" sheetId="3" r:id="rId3"/>
    <sheet name="Importacao" sheetId="4" r:id="rId4"/>
    <sheet name="Paises" sheetId="5" r:id="rId5"/>
  </sheets>
  <definedNames>
    <definedName name="__Key1">#REF!</definedName>
    <definedName name="__Key2">#REF!</definedName>
    <definedName name="_Key1">#REF!</definedName>
    <definedName name="_Key2">#REF!</definedName>
    <definedName name="documento">#REF!</definedName>
    <definedName name="DOX">#REF!</definedName>
    <definedName name="Fedex">#REF!</definedName>
    <definedName name="FedEx_WPX">#REF!</definedName>
    <definedName name="Flete">#REF!</definedName>
    <definedName name="Inflation_and_Exchange_RateMekko0">#REF!</definedName>
    <definedName name="naodoc">#REF!</definedName>
    <definedName name="NewDOX">#REF!</definedName>
    <definedName name="NewWPX">#REF!</definedName>
    <definedName name="Other">#REF!</definedName>
    <definedName name="Other1_WPX">#REF!</definedName>
    <definedName name="Other2_WPX">#REF!</definedName>
    <definedName name="pais">'Guia - Out2'!$C$8:$C$265</definedName>
    <definedName name="pases">#REF!</definedName>
    <definedName name="pasos">Importacao!$A$21:$A$520</definedName>
    <definedName name="peso">#REF!</definedName>
    <definedName name="pesos">#REF!</definedName>
    <definedName name="ppeso">#REF!</definedName>
    <definedName name="tabela">'Guia - Out2'!$C$6:$E$265</definedName>
    <definedName name="TNT">#REF!</definedName>
    <definedName name="TNT_WPX">#REF!</definedName>
    <definedName name="top">#REF!</definedName>
    <definedName name="UPS">#REF!</definedName>
    <definedName name="UPS_WPX">#REF!</definedName>
    <definedName name="WPX">#REF!</definedName>
    <definedName name="zona1">#REF!</definedName>
    <definedName name="zona2">#REF!</definedName>
    <definedName name="zona3">#REF!</definedName>
    <definedName name="zona4">#REF!</definedName>
    <definedName name="zona5">#REF!</definedName>
    <definedName name="zona6">#REF!</definedName>
    <definedName name="zona7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1" roundtripDataSignature="AMtx7mjNsh1icVUB9ShJc5tejqWOyzIB3g=="/>
    </ext>
  </extLst>
</workbook>
</file>

<file path=xl/calcChain.xml><?xml version="1.0" encoding="utf-8"?>
<calcChain xmlns="http://schemas.openxmlformats.org/spreadsheetml/2006/main">
  <c r="F4" i="4" l="1"/>
  <c r="E5" i="3"/>
  <c r="E5" i="4" s="1"/>
  <c r="D5" i="3"/>
  <c r="D5" i="4" s="1"/>
  <c r="B5" i="3"/>
  <c r="B5" i="4" s="1"/>
  <c r="H4" i="3"/>
  <c r="H4" i="4" s="1"/>
  <c r="F4" i="3"/>
  <c r="E4" i="3"/>
  <c r="E4" i="4" s="1"/>
  <c r="D4" i="3"/>
  <c r="D4" i="4" s="1"/>
  <c r="C4" i="3"/>
  <c r="C4" i="4" s="1"/>
  <c r="B4" i="3"/>
  <c r="B4" i="4" s="1"/>
  <c r="A4" i="3"/>
  <c r="A4" i="4" s="1"/>
  <c r="C7" i="1"/>
  <c r="E6" i="1"/>
  <c r="G6" i="1" s="1"/>
  <c r="C6" i="1"/>
  <c r="A5" i="3" s="1"/>
  <c r="A5" i="4" s="1"/>
  <c r="C5" i="3" l="1"/>
  <c r="C5" i="4" s="1"/>
  <c r="J6" i="1"/>
  <c r="F5" i="3" s="1"/>
  <c r="F5" i="4" s="1"/>
  <c r="K8" i="1"/>
</calcChain>
</file>

<file path=xl/sharedStrings.xml><?xml version="1.0" encoding="utf-8"?>
<sst xmlns="http://schemas.openxmlformats.org/spreadsheetml/2006/main" count="1218" uniqueCount="558">
  <si>
    <t>TABELA DE PREÇOS DE</t>
  </si>
  <si>
    <t>EXPORTAÇÃO</t>
  </si>
  <si>
    <t>DHL EXPRESS WORLDWIDE</t>
  </si>
  <si>
    <t>DHL EXPRESS BRASIL 2014</t>
  </si>
  <si>
    <t>Sigla</t>
  </si>
  <si>
    <t>País</t>
  </si>
  <si>
    <t>Zona</t>
  </si>
  <si>
    <t xml:space="preserve">Zona </t>
  </si>
  <si>
    <t>Peso</t>
  </si>
  <si>
    <t>Documentos/ Mercadoria</t>
  </si>
  <si>
    <t>Valor</t>
  </si>
  <si>
    <t>Chile</t>
  </si>
  <si>
    <t>Não Documentos</t>
  </si>
  <si>
    <t xml:space="preserve">ZONAS DE </t>
  </si>
  <si>
    <t>EXPORTAÇÃO / IMPORTAÇÃO</t>
  </si>
  <si>
    <t>COUNTRY</t>
  </si>
  <si>
    <t>IATA</t>
  </si>
  <si>
    <t>q</t>
  </si>
  <si>
    <t>A</t>
  </si>
  <si>
    <t>Afghanistan</t>
  </si>
  <si>
    <t>AF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</si>
  <si>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</si>
  <si>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</si>
  <si>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</si>
  <si>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</si>
  <si>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</si>
  <si>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</si>
  <si>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</si>
  <si>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</si>
  <si>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</si>
  <si>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</si>
  <si>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</si>
  <si>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</si>
  <si>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Antigua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</si>
  <si>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</si>
  <si>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</si>
  <si>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</si>
  <si>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</si>
  <si>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</si>
  <si>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</si>
  <si>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</si>
  <si>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</si>
  <si>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</si>
  <si>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</si>
  <si>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</si>
  <si>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</si>
  <si>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</si>
  <si>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</si>
  <si>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</si>
  <si>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</si>
  <si>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</si>
  <si>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</si>
  <si>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</si>
  <si>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</si>
  <si>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</si>
  <si>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</si>
  <si>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</si>
  <si>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</si>
  <si>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</si>
  <si>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</si>
  <si>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</si>
  <si>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</si>
  <si>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</si>
  <si>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</si>
  <si>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</si>
  <si>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</si>
  <si>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</si>
  <si>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</si>
  <si>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</si>
  <si>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Bonaire</t>
  </si>
  <si>
    <t>XB</t>
  </si>
  <si>
    <t>Bosnia and Herzegovina</t>
  </si>
  <si>
    <t>BA</t>
  </si>
  <si>
    <t>Botswana</t>
  </si>
  <si>
    <t>BW</t>
  </si>
  <si>
    <t>Brazil</t>
  </si>
  <si>
    <t>BR</t>
  </si>
  <si>
    <t>Brunei</t>
  </si>
  <si>
    <t>BN</t>
  </si>
  <si>
    <t>Bulgaria</t>
  </si>
  <si>
    <t>BG</t>
  </si>
  <si>
    <t>Burkina Faso</t>
  </si>
  <si>
    <t>BF</t>
  </si>
  <si>
    <t>Burma</t>
  </si>
  <si>
    <t>MM</t>
  </si>
  <si>
    <t>Burundi</t>
  </si>
  <si>
    <t>BI</t>
  </si>
  <si>
    <t>Cameroon</t>
  </si>
  <si>
    <t>CM</t>
  </si>
  <si>
    <t>Canada</t>
  </si>
  <si>
    <t>CA</t>
  </si>
  <si>
    <t>Canary Islands, The</t>
  </si>
  <si>
    <t>IC</t>
  </si>
  <si>
    <t>Cape Verde</t>
  </si>
  <si>
    <t>CV</t>
  </si>
  <si>
    <t>Caroline Islands</t>
  </si>
  <si>
    <t>GU</t>
  </si>
  <si>
    <t>Cayman Islands</t>
  </si>
  <si>
    <t>KY</t>
  </si>
  <si>
    <t>Central African Republic</t>
  </si>
  <si>
    <t>CF</t>
  </si>
  <si>
    <t>Chad</t>
  </si>
  <si>
    <t>TD</t>
  </si>
  <si>
    <t>CL</t>
  </si>
  <si>
    <t>China, People’s Republic</t>
  </si>
  <si>
    <t>CN</t>
  </si>
  <si>
    <t>Christmas Islands</t>
  </si>
  <si>
    <t>Cocos (Keeling) Islands</t>
  </si>
  <si>
    <t>Colombia</t>
  </si>
  <si>
    <t>CO</t>
  </si>
  <si>
    <t>Comoros</t>
  </si>
  <si>
    <t>KM</t>
  </si>
  <si>
    <t>Congo</t>
  </si>
  <si>
    <t>CG</t>
  </si>
  <si>
    <t>Congo, The Democratic Republic of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</si>
  <si>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</si>
  <si>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</si>
  <si>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</si>
  <si>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</si>
  <si>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</si>
  <si>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</si>
  <si>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</si>
  <si>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</si>
  <si>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</si>
  <si>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</si>
  <si>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</si>
  <si>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Curacao</t>
  </si>
  <si>
    <t>XC</t>
  </si>
  <si>
    <t>www.dhl.com.br</t>
  </si>
  <si>
    <t>Czech Republic, The</t>
  </si>
  <si>
    <t>CZ</t>
  </si>
  <si>
    <t>Denmark</t>
  </si>
  <si>
    <t>DK</t>
  </si>
  <si>
    <t>Djibouti</t>
  </si>
  <si>
    <t>DJ</t>
  </si>
  <si>
    <t>Dominica</t>
  </si>
  <si>
    <t>DM</t>
  </si>
  <si>
    <t>East Timor</t>
  </si>
  <si>
    <t>TL</t>
  </si>
  <si>
    <t>Ebeye Island</t>
  </si>
  <si>
    <t>MH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</si>
  <si>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</si>
  <si>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</si>
  <si>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</si>
  <si>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</si>
  <si>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</si>
  <si>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</si>
  <si>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</si>
  <si>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</si>
  <si>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England</t>
  </si>
  <si>
    <t>GB</t>
  </si>
  <si>
    <t>Eritrea</t>
  </si>
  <si>
    <t>ER</t>
  </si>
  <si>
    <t>Estonia</t>
  </si>
  <si>
    <t>EE</t>
  </si>
  <si>
    <t>Ethiopia</t>
  </si>
  <si>
    <t>ET</t>
  </si>
  <si>
    <t>Falkland Islands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</si>
  <si>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</si>
  <si>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</si>
  <si>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</si>
  <si>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</si>
  <si>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</si>
  <si>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</si>
  <si>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</si>
  <si>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</si>
  <si>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</si>
  <si>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Polynesia</t>
  </si>
  <si>
    <t>PF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</si>
  <si>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</si>
  <si>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</si>
  <si>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</si>
  <si>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</si>
  <si>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</si>
  <si>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</si>
  <si>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</si>
  <si>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</si>
  <si>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</si>
  <si>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</si>
  <si>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</si>
  <si>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</si>
  <si>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</si>
  <si>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</si>
  <si>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</si>
  <si>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</si>
  <si>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</si>
  <si>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</si>
  <si>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</si>
  <si>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</si>
  <si>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</si>
  <si>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Guatemala</t>
  </si>
  <si>
    <t>GT</t>
  </si>
  <si>
    <t>Guernsey</t>
  </si>
  <si>
    <t>GG</t>
  </si>
  <si>
    <t>Guinea Republic</t>
  </si>
  <si>
    <t>GN</t>
  </si>
  <si>
    <t>Guinea-Bissau</t>
  </si>
  <si>
    <t>GW</t>
  </si>
  <si>
    <t>Guinea-Equatorial</t>
  </si>
  <si>
    <t>Guyana (British)</t>
  </si>
  <si>
    <t>GY</t>
  </si>
  <si>
    <t>Haiti</t>
  </si>
  <si>
    <t>HT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</si>
  <si>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</si>
  <si>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</si>
  <si>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</si>
  <si>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</si>
  <si>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</si>
  <si>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</si>
  <si>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</si>
  <si>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</si>
  <si>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</si>
  <si>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</si>
  <si>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</si>
  <si>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</si>
  <si>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 (Islamic Republic of)</t>
  </si>
  <si>
    <t>IR</t>
  </si>
  <si>
    <t>Iraq</t>
  </si>
  <si>
    <t>IQ</t>
  </si>
  <si>
    <t>Ireland, Northern</t>
  </si>
  <si>
    <t>Ireland, Republic Of</t>
  </si>
  <si>
    <t>IE</t>
  </si>
  <si>
    <t>Islas Malvinas</t>
  </si>
  <si>
    <t>Isle of Man</t>
  </si>
  <si>
    <t>Israel</t>
  </si>
  <si>
    <t>IL</t>
  </si>
  <si>
    <t>Italy</t>
  </si>
  <si>
    <t>IT</t>
  </si>
  <si>
    <t>Ivory Coast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</si>
  <si>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</si>
  <si>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</si>
  <si>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</si>
  <si>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</si>
  <si>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</si>
  <si>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</si>
  <si>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</si>
  <si>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</si>
  <si>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</si>
  <si>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</si>
  <si>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</si>
  <si>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</si>
  <si>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</si>
  <si>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</si>
  <si>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D.P.R Of (North Korea)</t>
  </si>
  <si>
    <t>KP</t>
  </si>
  <si>
    <t>Korea Republic Of (South Korea)</t>
  </si>
  <si>
    <t>KR</t>
  </si>
  <si>
    <t>Kosovo</t>
  </si>
  <si>
    <t>KV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</si>
  <si>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</si>
  <si>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</si>
  <si>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</si>
  <si>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</si>
  <si>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</si>
  <si>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</si>
  <si>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</si>
  <si>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</si>
  <si>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</si>
  <si>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</si>
  <si>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</si>
  <si>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</si>
  <si>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</si>
  <si>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</si>
  <si>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</si>
  <si>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</si>
  <si>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</si>
  <si>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</t>
  </si>
  <si>
    <t>Lithuania</t>
  </si>
  <si>
    <t>LT</t>
  </si>
  <si>
    <t>Lord Howe Island</t>
  </si>
  <si>
    <t>Luxembourg</t>
  </si>
  <si>
    <t>LU</t>
  </si>
  <si>
    <t>Macau</t>
  </si>
  <si>
    <t>MO</t>
  </si>
  <si>
    <t>Macedonia, Former Yugoslav Republic</t>
  </si>
  <si>
    <t>MK</t>
  </si>
  <si>
    <t>Madagascar</t>
  </si>
  <si>
    <t>MG</t>
  </si>
  <si>
    <t>Majuro Island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</si>
  <si>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</si>
  <si>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</si>
  <si>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</si>
  <si>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</si>
  <si>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</si>
  <si>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</si>
  <si>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</si>
  <si>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</si>
  <si>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</si>
  <si>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</si>
  <si>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Manua Islands</t>
  </si>
  <si>
    <t>Marshall Islands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</si>
  <si>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</si>
  <si>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</si>
  <si>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</si>
  <si>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</si>
  <si>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</si>
  <si>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</si>
  <si>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</si>
  <si>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</si>
  <si>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</si>
  <si>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</si>
  <si>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</si>
  <si>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</si>
  <si>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</si>
  <si>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</si>
  <si>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</si>
  <si>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</si>
  <si>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</si>
  <si>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</si>
  <si>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Montenegro, Republic Of</t>
  </si>
  <si>
    <t>ME</t>
  </si>
  <si>
    <t>Montserrat</t>
  </si>
  <si>
    <t>MS</t>
  </si>
  <si>
    <t>Morocco</t>
  </si>
  <si>
    <t>MA</t>
  </si>
  <si>
    <t>Mozambique</t>
  </si>
  <si>
    <t>MZ</t>
  </si>
  <si>
    <t>Myanmar</t>
  </si>
  <si>
    <t>Netherlands Antilles</t>
  </si>
  <si>
    <t xml:space="preserve">AN </t>
  </si>
  <si>
    <t>Namibia</t>
  </si>
  <si>
    <t>NA</t>
  </si>
  <si>
    <t>Nauru, Republic Of</t>
  </si>
  <si>
    <t>NR</t>
  </si>
  <si>
    <t>Nepal</t>
  </si>
  <si>
    <t>NP</t>
  </si>
  <si>
    <t>Netherlands, The</t>
  </si>
  <si>
    <t>NL</t>
  </si>
  <si>
    <t>Nevis</t>
  </si>
  <si>
    <t>XN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</si>
  <si>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</si>
  <si>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</si>
  <si>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</si>
  <si>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</si>
  <si>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</si>
  <si>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</si>
  <si>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</si>
  <si>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</si>
  <si>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</si>
  <si>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</si>
  <si>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</si>
  <si>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</si>
  <si>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Islands</t>
  </si>
  <si>
    <t>Northern Marianas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</si>
  <si>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</si>
  <si>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</si>
  <si>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</si>
  <si>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</si>
  <si>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</si>
  <si>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</si>
  <si>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</si>
  <si>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</si>
  <si>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</si>
  <si>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</si>
  <si>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</si>
  <si>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</si>
  <si>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</si>
  <si>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</si>
  <si>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</si>
  <si>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</si>
  <si>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</si>
  <si>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Philippines, The</t>
  </si>
  <si>
    <t>PH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</si>
  <si>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</si>
  <si>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</si>
  <si>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</si>
  <si>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</si>
  <si>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</si>
  <si>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</si>
  <si>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</si>
  <si>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</si>
  <si>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Reunion, Island Of</t>
  </si>
  <si>
    <t>RE</t>
  </si>
  <si>
    <t>Romania</t>
  </si>
  <si>
    <t>RO</t>
  </si>
  <si>
    <t>Rota Island</t>
  </si>
  <si>
    <t>Russian Federation, The</t>
  </si>
  <si>
    <t>RU</t>
  </si>
  <si>
    <t>Rwanda</t>
  </si>
  <si>
    <t>RW</t>
  </si>
  <si>
    <t>Saint Helena Island</t>
  </si>
  <si>
    <t>ZA</t>
  </si>
  <si>
    <t>Saipan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</si>
  <si>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</si>
  <si>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</si>
  <si>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</si>
  <si>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</si>
  <si>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</si>
  <si>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</si>
  <si>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</si>
  <si>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</si>
  <si>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Scotland</t>
  </si>
  <si>
    <t>Senegal</t>
  </si>
  <si>
    <t>SN</t>
  </si>
  <si>
    <t>Serbia, Republic Of</t>
  </si>
  <si>
    <t>RS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</si>
  <si>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</si>
  <si>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</si>
  <si>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</si>
  <si>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</si>
  <si>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</si>
  <si>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</si>
  <si>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</si>
  <si>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</si>
  <si>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</si>
  <si>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</si>
  <si>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</si>
  <si>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</si>
  <si>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</si>
  <si>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</si>
  <si>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Somaliland, Republic Of (North Somalia)</t>
  </si>
  <si>
    <t>XS</t>
  </si>
  <si>
    <t>South Africa</t>
  </si>
  <si>
    <t>Spain</t>
  </si>
  <si>
    <t>ES</t>
  </si>
  <si>
    <t>Sri Lanka</t>
  </si>
  <si>
    <t>LK</t>
  </si>
  <si>
    <t>St. Croix</t>
  </si>
  <si>
    <t>VI</t>
  </si>
  <si>
    <t>St. John</t>
  </si>
  <si>
    <t>St. Thomas</t>
  </si>
  <si>
    <t>St. Barthelemy</t>
  </si>
  <si>
    <t>XY</t>
  </si>
  <si>
    <t>St. Eustatius</t>
  </si>
  <si>
    <t>XE</t>
  </si>
  <si>
    <t>St. Kitts</t>
  </si>
  <si>
    <t>KN</t>
  </si>
  <si>
    <t>St. Lucia</t>
  </si>
  <si>
    <t>LC</t>
  </si>
  <si>
    <t>St. Maarten</t>
  </si>
  <si>
    <t>XM</t>
  </si>
  <si>
    <t>St. Vincent</t>
  </si>
  <si>
    <t>VC</t>
  </si>
  <si>
    <t>Sudan</t>
  </si>
  <si>
    <t>SD</t>
  </si>
  <si>
    <t>Suriname</t>
  </si>
  <si>
    <t>SR</t>
  </si>
  <si>
    <t>Swaziland</t>
  </si>
  <si>
    <t>SZ</t>
  </si>
  <si>
    <t>Sweden</t>
  </si>
  <si>
    <t>SE</t>
  </si>
  <si>
    <t>Switzerland</t>
  </si>
  <si>
    <t>CH</t>
  </si>
  <si>
    <t>Syria</t>
  </si>
  <si>
    <t>SY</t>
  </si>
  <si>
    <t>Tahiti</t>
  </si>
  <si>
    <t>Taiwan</t>
  </si>
  <si>
    <t>TW</t>
  </si>
  <si>
    <t>Tajikistan</t>
  </si>
  <si>
    <t>TJ</t>
  </si>
  <si>
    <t>Tanzania</t>
  </si>
  <si>
    <t>TZ</t>
  </si>
  <si>
    <t>Thailand</t>
  </si>
  <si>
    <t>TH</t>
  </si>
  <si>
    <t>Tinian Island</t>
  </si>
  <si>
    <t>Togo</t>
  </si>
  <si>
    <t>TG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</si>
  <si>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</si>
  <si>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</si>
  <si>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</si>
  <si>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</si>
  <si>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</si>
  <si>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</si>
  <si>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</si>
  <si>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</si>
  <si>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</si>
  <si>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</si>
  <si>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</si>
  <si>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</si>
  <si>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Tutuila Island</t>
  </si>
  <si>
    <t>Tuvalu</t>
  </si>
  <si>
    <t>TV</t>
  </si>
  <si>
    <t>Uganda</t>
  </si>
  <si>
    <t>UG</t>
  </si>
  <si>
    <t>Ukraine</t>
  </si>
  <si>
    <t>UA</t>
  </si>
  <si>
    <t>Ulster</t>
  </si>
  <si>
    <t>United Arab Emirates</t>
  </si>
  <si>
    <t>AE</t>
  </si>
  <si>
    <t>United Kingdom</t>
  </si>
  <si>
    <t>United States of America</t>
  </si>
  <si>
    <t>US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</si>
  <si>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</si>
  <si>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</si>
  <si>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</si>
  <si>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</si>
  <si>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</si>
  <si>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</si>
  <si>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</si>
  <si>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</si>
  <si>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</si>
  <si>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</si>
  <si>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Virgin Islands (British)</t>
  </si>
  <si>
    <t>VG</t>
  </si>
  <si>
    <t>Virgin Islands (US)</t>
  </si>
  <si>
    <t>Wales</t>
  </si>
  <si>
    <t>Wallis &amp; Futuna Islands</t>
  </si>
  <si>
    <t>Western Samoa</t>
  </si>
  <si>
    <t>Yemen</t>
  </si>
  <si>
    <t>YE</t>
  </si>
  <si>
    <t>Zambia</t>
  </si>
  <si>
    <t>ZM</t>
  </si>
  <si>
    <t>Zimbabwe</t>
  </si>
  <si>
    <t>ZW</t>
  </si>
  <si>
    <t>kg</t>
  </si>
  <si>
    <t>Zona 1</t>
  </si>
  <si>
    <t>Zona 2</t>
  </si>
  <si>
    <t>Zona 3</t>
  </si>
  <si>
    <t>Zona 4</t>
  </si>
  <si>
    <t>Zona 5</t>
  </si>
  <si>
    <t>Zona 6</t>
  </si>
  <si>
    <t>Zona 7</t>
  </si>
  <si>
    <t>Documentos</t>
  </si>
  <si>
    <t>Adicional para cada 0,5 Kg</t>
  </si>
  <si>
    <t xml:space="preserve">     Tarifas expressas em Reais (R$). Os preços acima representam apenas o valor do frete</t>
  </si>
  <si>
    <t xml:space="preserve">     e não incluem impostos, serviços especiais ou taxas alfandegárias. </t>
  </si>
  <si>
    <t xml:space="preserve">     Para o esclarecimento de dúvidas, pedimos a gentileza de contatar seu executivo de vendas</t>
  </si>
  <si>
    <t xml:space="preserve">     ou o Atendimento ao Cliente DHL Express 0800 771 3451 ou São Paulo Capital (11) 3618-3200.</t>
  </si>
  <si>
    <t>IMPORTAÇÃO</t>
  </si>
  <si>
    <t>DHL IMPORT EXPRESS WORLDWIDE</t>
  </si>
  <si>
    <t>C</t>
  </si>
  <si>
    <t>I</t>
  </si>
  <si>
    <t>M</t>
  </si>
  <si>
    <t>S</t>
  </si>
  <si>
    <t xml:space="preserve">q  </t>
  </si>
  <si>
    <t>CY</t>
  </si>
  <si>
    <t>Cyprus</t>
  </si>
  <si>
    <t>N</t>
  </si>
  <si>
    <t>Cyprus, Northern</t>
  </si>
  <si>
    <t>D</t>
  </si>
  <si>
    <t>DO</t>
  </si>
  <si>
    <t>Dominican Republic</t>
  </si>
  <si>
    <t>J</t>
  </si>
  <si>
    <t>E</t>
  </si>
  <si>
    <t>K</t>
  </si>
  <si>
    <t>B</t>
  </si>
  <si>
    <t>Eire</t>
  </si>
  <si>
    <t>T</t>
  </si>
  <si>
    <t>O</t>
  </si>
  <si>
    <t>P</t>
  </si>
  <si>
    <t>F</t>
  </si>
  <si>
    <t>L</t>
  </si>
  <si>
    <t>GF</t>
  </si>
  <si>
    <t>French Guiana</t>
  </si>
  <si>
    <t>G</t>
  </si>
  <si>
    <t>Q</t>
  </si>
  <si>
    <t>R</t>
  </si>
  <si>
    <t>U</t>
  </si>
  <si>
    <t>KH</t>
  </si>
  <si>
    <t>Cambodia</t>
  </si>
  <si>
    <t>Great Britain</t>
  </si>
  <si>
    <t>V</t>
  </si>
  <si>
    <t>W</t>
  </si>
  <si>
    <t>H</t>
  </si>
  <si>
    <t>X</t>
  </si>
  <si>
    <t>Y</t>
  </si>
  <si>
    <t>Z</t>
  </si>
  <si>
    <r>
      <rPr>
        <sz val="8"/>
        <color rgb="FFFF0000"/>
        <rFont val="Noto Sans Symbols"/>
      </rPr>
      <t>u</t>
    </r>
    <r>
      <rPr>
        <sz val="8"/>
        <color rgb="FFFF0000"/>
        <rFont val="Verdana"/>
      </rPr>
      <t xml:space="preserve"> </t>
    </r>
    <r>
      <rPr>
        <sz val="8"/>
        <color rgb="FFFF0000"/>
        <rFont val="Frutiger LT Pro 65 Bold"/>
      </rPr>
      <t xml:space="preserve">Customer Service +55-11-3618-3200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</si>
</sst>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$-416]\ * #,##0.00_-;\-[$R$-416]\ * #,##0.00_-;_-[$R$-416]\ * &quot;-&quot;??_-;_-@"/>
    <numFmt numFmtId="165" formatCode="0.0"/>
  </numFmts>
  <fonts count="39">
    <font>
      <sz val="10"/>
      <color rgb="FF000000"/>
      <name val="Calibri"/>
      <scheme val="minor"/>
    </font>
    <font>
      <sz val="10"/>
      <color theme="1"/>
      <name val="Arial"/>
    </font>
    <font>
      <sz val="15"/>
      <color rgb="FFFF0000"/>
      <name val="Frutiger 57cn"/>
    </font>
    <font>
      <sz val="24"/>
      <color rgb="FFFF0000"/>
      <name val="Frutiger 57cn"/>
    </font>
    <font>
      <sz val="15"/>
      <color rgb="FFFFFFFF"/>
      <name val="Arial"/>
    </font>
    <font>
      <sz val="16"/>
      <color rgb="FFFFFFFF"/>
      <name val="Frutiger 57cn"/>
    </font>
    <font>
      <sz val="24"/>
      <color rgb="FFFFFFFF"/>
      <name val="Frutiger 57cn"/>
    </font>
    <font>
      <b/>
      <sz val="10"/>
      <color rgb="FFFFFFFF"/>
      <name val="Bl frutiger black"/>
    </font>
    <font>
      <sz val="10"/>
      <color rgb="FFFFFFFF"/>
      <name val="Bl frutiger black"/>
    </font>
    <font>
      <b/>
      <sz val="10"/>
      <color theme="1"/>
      <name val="Arial"/>
    </font>
    <font>
      <sz val="10"/>
      <name val="Calibri"/>
    </font>
    <font>
      <sz val="22"/>
      <color theme="1"/>
      <name val="Arial"/>
    </font>
    <font>
      <b/>
      <i/>
      <sz val="10"/>
      <color theme="1"/>
      <name val="Arial"/>
    </font>
    <font>
      <sz val="10"/>
      <color theme="1"/>
      <name val="Calibri"/>
      <scheme val="minor"/>
    </font>
    <font>
      <u/>
      <sz val="10"/>
      <color rgb="FF0000FF"/>
      <name val="Arial"/>
    </font>
    <font>
      <sz val="10"/>
      <color theme="1"/>
      <name val="Verdana"/>
    </font>
    <font>
      <sz val="20"/>
      <color rgb="FFFF0000"/>
      <name val="Frutiger lt pro 65 bold"/>
    </font>
    <font>
      <sz val="20"/>
      <color rgb="FFFFFFFF"/>
      <name val="Frutiger lt pro 65 bold"/>
    </font>
    <font>
      <sz val="8"/>
      <color rgb="FFFFFFFF"/>
      <name val="Frutiger lt pro 65 bold"/>
    </font>
    <font>
      <sz val="10"/>
      <color rgb="FFFFFFFF"/>
      <name val="Frutiger lt pro 65 bold"/>
    </font>
    <font>
      <sz val="7"/>
      <color rgb="FFFF0000"/>
      <name val="Noto Sans Symbols"/>
    </font>
    <font>
      <sz val="7"/>
      <color theme="1"/>
      <name val="Verdana"/>
    </font>
    <font>
      <sz val="7"/>
      <color theme="1"/>
      <name val="Frutiger lt pro 65 bold"/>
    </font>
    <font>
      <sz val="15"/>
      <color rgb="FFFFFFFF"/>
      <name val="Frutiger 57cn"/>
    </font>
    <font>
      <sz val="18"/>
      <color rgb="FFFF0000"/>
      <name val="Frutiger 57cn"/>
    </font>
    <font>
      <sz val="8"/>
      <color theme="1"/>
      <name val="Frutiger 67boldcn"/>
    </font>
    <font>
      <sz val="8"/>
      <color theme="1"/>
      <name val="Frutiger 57cn"/>
    </font>
    <font>
      <sz val="6"/>
      <color theme="1"/>
      <name val="Arial"/>
    </font>
    <font>
      <sz val="7"/>
      <color theme="1"/>
      <name val="Frutiger 57cn"/>
    </font>
    <font>
      <sz val="6"/>
      <color theme="1"/>
      <name val="Verdana"/>
    </font>
    <font>
      <sz val="8"/>
      <color rgb="FFFF0000"/>
      <name val="Noto Sans Symbols"/>
    </font>
    <font>
      <i/>
      <sz val="6"/>
      <color theme="1"/>
      <name val="Frutiger 67boldcn"/>
    </font>
    <font>
      <sz val="6"/>
      <color theme="1"/>
      <name val="Frutiger lt pro 65 bold"/>
    </font>
    <font>
      <u/>
      <sz val="10"/>
      <color rgb="FFFFFFFF"/>
      <name val="Verdana"/>
    </font>
    <font>
      <sz val="10"/>
      <color rgb="FFFFFFFF"/>
      <name val="Verdana"/>
    </font>
    <font>
      <sz val="10"/>
      <color rgb="FFFF0000"/>
      <name val="Noto Sans Symbols"/>
    </font>
    <font>
      <sz val="6"/>
      <color theme="1"/>
      <name val="Frutiger lt pro 57 condensed"/>
    </font>
    <font>
      <sz val="8"/>
      <color rgb="FFFF0000"/>
      <name val="Verdana"/>
    </font>
    <font>
      <sz val="8"/>
      <color rgb="FFFF0000"/>
      <name val="Frutiger LT Pro 65 Bold"/>
    </font>
  </fonts>
  <fills count="7">
    <fill>
      <patternFill patternType="none"/>
    </fill>
    <fill>
      <patternFill patternType="gray125"/>
    </fill>
    <fill>
      <patternFill patternType="solid">
        <fgColor rgb="FFFFCC00"/>
        <bgColor rgb="FFFFCC00"/>
      </patternFill>
    </fill>
    <fill>
      <patternFill patternType="solid">
        <fgColor rgb="FFFF0000"/>
        <bgColor rgb="FFFF0000"/>
      </patternFill>
    </fill>
    <fill>
      <patternFill patternType="solid">
        <fgColor rgb="FFC2D69B"/>
        <bgColor rgb="FFC2D69B"/>
      </patternFill>
    </fill>
    <fill>
      <patternFill patternType="solid">
        <fgColor rgb="FFDBE5F1"/>
        <bgColor rgb="FFDBE5F1"/>
      </patternFill>
    </fill>
    <fill>
      <patternFill patternType="solid">
        <fgColor rgb="FFFFFFFF"/>
        <bgColor rgb="FFFFFFFF"/>
      </patternFill>
    </fill>
  </fills>
  <borders count="65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FFCC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FFCC00"/>
      </top>
      <bottom/>
      <diagonal/>
    </border>
    <border>
      <left/>
      <right style="thin">
        <color rgb="FFFFCC00"/>
      </right>
      <top style="thin">
        <color rgb="FFFFCC00"/>
      </top>
      <bottom/>
      <diagonal/>
    </border>
    <border>
      <left style="thin">
        <color rgb="FFFFCC00"/>
      </left>
      <right/>
      <top style="thin">
        <color rgb="FFFFCC00"/>
      </top>
      <bottom/>
      <diagonal/>
    </border>
    <border>
      <left style="thin">
        <color rgb="FFFFCC00"/>
      </left>
      <right/>
      <top/>
      <bottom/>
      <diagonal/>
    </border>
    <border>
      <left style="thin">
        <color rgb="FFFFCC00"/>
      </left>
      <right style="thin">
        <color rgb="FFFFCC00"/>
      </right>
      <top/>
      <bottom/>
      <diagonal/>
    </border>
    <border>
      <left style="thin">
        <color rgb="FFFFCC00"/>
      </left>
      <right/>
      <top/>
      <bottom/>
      <diagonal/>
    </border>
    <border>
      <left style="thin">
        <color rgb="FFFFCC00"/>
      </left>
      <right style="thin">
        <color rgb="FFFFCC00"/>
      </right>
      <top/>
      <bottom/>
      <diagonal/>
    </border>
    <border>
      <left style="thin">
        <color rgb="FFFFCC00"/>
      </left>
      <right/>
      <top/>
      <bottom style="thin">
        <color rgb="FFFFCC00"/>
      </bottom>
      <diagonal/>
    </border>
    <border>
      <left style="thin">
        <color rgb="FFFFCC00"/>
      </left>
      <right style="thin">
        <color rgb="FFFFCC00"/>
      </right>
      <top/>
      <bottom style="thin">
        <color rgb="FFFFCC00"/>
      </bottom>
      <diagonal/>
    </border>
    <border>
      <left style="thin">
        <color rgb="FFFFCC00"/>
      </left>
      <right/>
      <top/>
      <bottom style="thin">
        <color rgb="FFFFCC00"/>
      </bottom>
      <diagonal/>
    </border>
    <border>
      <left style="thin">
        <color rgb="FFFFCC00"/>
      </left>
      <right style="thin">
        <color rgb="FFFFCC00"/>
      </right>
      <top/>
      <bottom style="thin">
        <color rgb="FFFFCC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FF0000"/>
      </bottom>
      <diagonal/>
    </border>
    <border>
      <left style="medium">
        <color rgb="FFFFCC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FFCC00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medium">
        <color rgb="FFFFCC00"/>
      </left>
      <right style="thin">
        <color rgb="FFFFFFFF"/>
      </right>
      <top style="medium">
        <color rgb="FFFFCC00"/>
      </top>
      <bottom/>
      <diagonal/>
    </border>
    <border>
      <left style="thin">
        <color rgb="FFFFFFFF"/>
      </left>
      <right/>
      <top style="medium">
        <color rgb="FFFFCC00"/>
      </top>
      <bottom/>
      <diagonal/>
    </border>
    <border>
      <left/>
      <right/>
      <top style="medium">
        <color rgb="FFFFCC00"/>
      </top>
      <bottom/>
      <diagonal/>
    </border>
    <border>
      <left/>
      <right style="medium">
        <color rgb="FFFFCC00"/>
      </right>
      <top style="medium">
        <color rgb="FFFFCC00"/>
      </top>
      <bottom/>
      <diagonal/>
    </border>
    <border>
      <left style="medium">
        <color rgb="FFFFCC00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medium">
        <color rgb="FFFFCC00"/>
      </right>
      <top/>
      <bottom style="thin">
        <color rgb="FFFFFFFF"/>
      </bottom>
      <diagonal/>
    </border>
    <border>
      <left style="medium">
        <color rgb="FFFFCC00"/>
      </left>
      <right style="thin">
        <color rgb="FFFFCC00"/>
      </right>
      <top style="thin">
        <color rgb="FFFFFFFF"/>
      </top>
      <bottom/>
      <diagonal/>
    </border>
    <border>
      <left style="thin">
        <color rgb="FFFFCC00"/>
      </left>
      <right style="thin">
        <color rgb="FFFFCC00"/>
      </right>
      <top style="thin">
        <color rgb="FFFFFFFF"/>
      </top>
      <bottom/>
      <diagonal/>
    </border>
    <border>
      <left style="thin">
        <color rgb="FFFFCC00"/>
      </left>
      <right style="medium">
        <color rgb="FFFFCC00"/>
      </right>
      <top style="thin">
        <color rgb="FFFFFFFF"/>
      </top>
      <bottom/>
      <diagonal/>
    </border>
    <border>
      <left style="medium">
        <color rgb="FFFFCC00"/>
      </left>
      <right style="thin">
        <color rgb="FFFFCC00"/>
      </right>
      <top/>
      <bottom/>
      <diagonal/>
    </border>
    <border>
      <left style="thin">
        <color rgb="FFFFCC00"/>
      </left>
      <right style="medium">
        <color rgb="FFFFCC00"/>
      </right>
      <top/>
      <bottom/>
      <diagonal/>
    </border>
    <border>
      <left style="medium">
        <color rgb="FFFFCC00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/>
      <diagonal/>
    </border>
    <border>
      <left/>
      <right style="medium">
        <color rgb="FFFFCC00"/>
      </right>
      <top/>
      <bottom/>
      <diagonal/>
    </border>
    <border>
      <left style="medium">
        <color rgb="FFFFCC00"/>
      </left>
      <right style="thin">
        <color rgb="FFFFCC00"/>
      </right>
      <top style="thin">
        <color rgb="FFFFFFFF"/>
      </top>
      <bottom/>
      <diagonal/>
    </border>
    <border>
      <left/>
      <right style="thin">
        <color rgb="FFFFCC00"/>
      </right>
      <top style="thin">
        <color rgb="FFFFFFFF"/>
      </top>
      <bottom/>
      <diagonal/>
    </border>
    <border>
      <left style="thin">
        <color rgb="FFFFCC00"/>
      </left>
      <right style="thin">
        <color rgb="FFFFCC00"/>
      </right>
      <top style="thin">
        <color rgb="FFFFFFFF"/>
      </top>
      <bottom/>
      <diagonal/>
    </border>
    <border>
      <left style="thin">
        <color rgb="FFFFCC00"/>
      </left>
      <right style="medium">
        <color rgb="FFFFCC00"/>
      </right>
      <top style="thin">
        <color rgb="FFFFFFFF"/>
      </top>
      <bottom/>
      <diagonal/>
    </border>
    <border>
      <left/>
      <right style="thin">
        <color rgb="FFFFCC00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CC00"/>
      </top>
      <bottom/>
      <diagonal/>
    </border>
    <border>
      <left style="medium">
        <color rgb="FFFFCC00"/>
      </left>
      <right style="thin">
        <color rgb="FFFFCC00"/>
      </right>
      <top style="medium">
        <color rgb="FFFFCC00"/>
      </top>
      <bottom style="medium">
        <color rgb="FFFFCC00"/>
      </bottom>
      <diagonal/>
    </border>
    <border>
      <left/>
      <right style="thin">
        <color rgb="FFFFCC00"/>
      </right>
      <top style="medium">
        <color rgb="FFFFCC00"/>
      </top>
      <bottom style="medium">
        <color rgb="FFFFCC00"/>
      </bottom>
      <diagonal/>
    </border>
    <border>
      <left style="thin">
        <color rgb="FFFFCC00"/>
      </left>
      <right style="thin">
        <color rgb="FFFFCC00"/>
      </right>
      <top style="medium">
        <color rgb="FFFFCC00"/>
      </top>
      <bottom style="medium">
        <color rgb="FFFFCC00"/>
      </bottom>
      <diagonal/>
    </border>
    <border>
      <left style="thin">
        <color rgb="FFFFCC00"/>
      </left>
      <right style="medium">
        <color rgb="FFFFCC00"/>
      </right>
      <top style="medium">
        <color rgb="FFFFCC00"/>
      </top>
      <bottom style="medium">
        <color rgb="FFFFCC00"/>
      </bottom>
      <diagonal/>
    </border>
    <border>
      <left style="medium">
        <color rgb="FF000000"/>
      </left>
      <right style="thin">
        <color rgb="FFFFFFFF"/>
      </right>
      <top style="medium">
        <color rgb="FF000000"/>
      </top>
      <bottom style="medium">
        <color rgb="FF000000"/>
      </bottom>
      <diagonal/>
    </border>
    <border>
      <left style="thin">
        <color rgb="FFFFFFFF"/>
      </left>
      <right style="thin">
        <color rgb="FFFFFFFF"/>
      </right>
      <top style="medium">
        <color rgb="FF000000"/>
      </top>
      <bottom style="medium">
        <color rgb="FF000000"/>
      </bottom>
      <diagonal/>
    </border>
    <border>
      <left style="thin">
        <color rgb="FFFFFFFF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1" fillId="2" borderId="3" xfId="0" applyFont="1" applyFill="1" applyBorder="1"/>
    <xf numFmtId="0" fontId="7" fillId="3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vertical="center"/>
    </xf>
    <xf numFmtId="0" fontId="1" fillId="3" borderId="1" xfId="0" applyFont="1" applyFill="1" applyBorder="1"/>
    <xf numFmtId="0" fontId="7" fillId="3" borderId="1" xfId="0" applyFont="1" applyFill="1" applyBorder="1" applyAlignment="1">
      <alignment horizontal="right" vertical="center"/>
    </xf>
    <xf numFmtId="0" fontId="9" fillId="4" borderId="4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5" fillId="0" borderId="0" xfId="0" applyFont="1" applyAlignment="1">
      <alignment wrapText="1"/>
    </xf>
    <xf numFmtId="0" fontId="16" fillId="2" borderId="1" xfId="0" applyFont="1" applyFill="1" applyBorder="1" applyAlignment="1">
      <alignment vertical="center" wrapText="1"/>
    </xf>
    <xf numFmtId="0" fontId="18" fillId="3" borderId="16" xfId="0" applyFont="1" applyFill="1" applyBorder="1" applyAlignment="1">
      <alignment horizontal="left"/>
    </xf>
    <xf numFmtId="0" fontId="18" fillId="3" borderId="16" xfId="0" applyFont="1" applyFill="1" applyBorder="1" applyAlignment="1">
      <alignment horizontal="center"/>
    </xf>
    <xf numFmtId="0" fontId="19" fillId="0" borderId="0" xfId="0" applyFont="1"/>
    <xf numFmtId="0" fontId="20" fillId="2" borderId="17" xfId="0" applyFont="1" applyFill="1" applyBorder="1"/>
    <xf numFmtId="0" fontId="21" fillId="2" borderId="18" xfId="0" applyFont="1" applyFill="1" applyBorder="1"/>
    <xf numFmtId="0" fontId="22" fillId="2" borderId="19" xfId="0" applyFont="1" applyFill="1" applyBorder="1" applyAlignment="1">
      <alignment horizontal="center" vertical="center"/>
    </xf>
    <xf numFmtId="0" fontId="21" fillId="0" borderId="0" xfId="0" applyFont="1"/>
    <xf numFmtId="2" fontId="22" fillId="5" borderId="20" xfId="0" applyNumberFormat="1" applyFont="1" applyFill="1" applyBorder="1" applyAlignment="1">
      <alignment horizontal="left" vertical="center"/>
    </xf>
    <xf numFmtId="1" fontId="22" fillId="5" borderId="21" xfId="0" applyNumberFormat="1" applyFont="1" applyFill="1" applyBorder="1" applyAlignment="1">
      <alignment horizontal="center" vertical="center"/>
    </xf>
    <xf numFmtId="2" fontId="22" fillId="5" borderId="20" xfId="0" applyNumberFormat="1" applyFont="1" applyFill="1" applyBorder="1" applyAlignment="1">
      <alignment horizontal="center" vertical="center"/>
    </xf>
    <xf numFmtId="0" fontId="22" fillId="0" borderId="22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5" borderId="20" xfId="0" applyFont="1" applyFill="1" applyBorder="1" applyAlignment="1">
      <alignment horizontal="left" vertical="center"/>
    </xf>
    <xf numFmtId="0" fontId="22" fillId="5" borderId="21" xfId="0" applyFont="1" applyFill="1" applyBorder="1" applyAlignment="1">
      <alignment horizontal="center" vertical="center"/>
    </xf>
    <xf numFmtId="0" fontId="22" fillId="5" borderId="20" xfId="0" applyFont="1" applyFill="1" applyBorder="1" applyAlignment="1">
      <alignment horizontal="center" vertical="center"/>
    </xf>
    <xf numFmtId="0" fontId="1" fillId="0" borderId="0" xfId="0" applyFont="1"/>
    <xf numFmtId="0" fontId="22" fillId="0" borderId="24" xfId="0" applyFont="1" applyBorder="1" applyAlignment="1">
      <alignment horizontal="left" vertical="center"/>
    </xf>
    <xf numFmtId="0" fontId="22" fillId="0" borderId="25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5" borderId="26" xfId="0" applyFont="1" applyFill="1" applyBorder="1" applyAlignment="1">
      <alignment horizontal="left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1" xfId="0" applyFont="1" applyFill="1" applyBorder="1" applyAlignment="1">
      <alignment horizontal="left" vertical="center"/>
    </xf>
    <xf numFmtId="0" fontId="22" fillId="0" borderId="23" xfId="0" applyFont="1" applyBorder="1" applyAlignment="1">
      <alignment horizontal="left" vertical="center"/>
    </xf>
    <xf numFmtId="0" fontId="22" fillId="6" borderId="21" xfId="0" applyFont="1" applyFill="1" applyBorder="1" applyAlignment="1">
      <alignment horizontal="left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20" xfId="0" applyFont="1" applyFill="1" applyBorder="1" applyAlignment="1">
      <alignment horizontal="left" vertical="center"/>
    </xf>
    <xf numFmtId="0" fontId="22" fillId="6" borderId="20" xfId="0" applyFont="1" applyFill="1" applyBorder="1" applyAlignment="1">
      <alignment horizontal="center" vertical="center"/>
    </xf>
    <xf numFmtId="0" fontId="1" fillId="6" borderId="1" xfId="0" applyFont="1" applyFill="1" applyBorder="1"/>
    <xf numFmtId="0" fontId="23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4" fillId="2" borderId="28" xfId="0" applyFont="1" applyFill="1" applyBorder="1" applyAlignment="1">
      <alignment horizontal="center" vertical="center"/>
    </xf>
    <xf numFmtId="0" fontId="24" fillId="2" borderId="29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5" fillId="2" borderId="31" xfId="0" applyFont="1" applyFill="1" applyBorder="1" applyAlignment="1">
      <alignment horizontal="center" vertical="center"/>
    </xf>
    <xf numFmtId="0" fontId="25" fillId="2" borderId="32" xfId="0" applyFont="1" applyFill="1" applyBorder="1" applyAlignment="1">
      <alignment horizontal="center" vertical="center"/>
    </xf>
    <xf numFmtId="0" fontId="25" fillId="2" borderId="33" xfId="0" applyFont="1" applyFill="1" applyBorder="1" applyAlignment="1">
      <alignment horizontal="center" vertical="center"/>
    </xf>
    <xf numFmtId="0" fontId="1" fillId="0" borderId="34" xfId="0" applyFont="1" applyBorder="1"/>
    <xf numFmtId="165" fontId="26" fillId="6" borderId="43" xfId="0" applyNumberFormat="1" applyFont="1" applyFill="1" applyBorder="1" applyAlignment="1">
      <alignment horizontal="center" vertical="center"/>
    </xf>
    <xf numFmtId="2" fontId="26" fillId="6" borderId="44" xfId="0" applyNumberFormat="1" applyFont="1" applyFill="1" applyBorder="1" applyAlignment="1">
      <alignment horizontal="center" vertical="center"/>
    </xf>
    <xf numFmtId="2" fontId="26" fillId="6" borderId="45" xfId="0" applyNumberFormat="1" applyFont="1" applyFill="1" applyBorder="1" applyAlignment="1">
      <alignment horizontal="center" vertical="center"/>
    </xf>
    <xf numFmtId="165" fontId="26" fillId="5" borderId="46" xfId="0" applyNumberFormat="1" applyFont="1" applyFill="1" applyBorder="1" applyAlignment="1">
      <alignment horizontal="center" vertical="center"/>
    </xf>
    <xf numFmtId="2" fontId="26" fillId="5" borderId="21" xfId="0" applyNumberFormat="1" applyFont="1" applyFill="1" applyBorder="1" applyAlignment="1">
      <alignment horizontal="center" vertical="center"/>
    </xf>
    <xf numFmtId="2" fontId="26" fillId="5" borderId="47" xfId="0" applyNumberFormat="1" applyFont="1" applyFill="1" applyBorder="1" applyAlignment="1">
      <alignment horizontal="center" vertical="center"/>
    </xf>
    <xf numFmtId="165" fontId="26" fillId="6" borderId="46" xfId="0" applyNumberFormat="1" applyFont="1" applyFill="1" applyBorder="1" applyAlignment="1">
      <alignment horizontal="center" vertical="center"/>
    </xf>
    <xf numFmtId="2" fontId="26" fillId="6" borderId="21" xfId="0" applyNumberFormat="1" applyFont="1" applyFill="1" applyBorder="1" applyAlignment="1">
      <alignment horizontal="center" vertical="center"/>
    </xf>
    <xf numFmtId="2" fontId="26" fillId="6" borderId="47" xfId="0" applyNumberFormat="1" applyFont="1" applyFill="1" applyBorder="1" applyAlignment="1">
      <alignment horizontal="center" vertical="center"/>
    </xf>
    <xf numFmtId="165" fontId="26" fillId="0" borderId="52" xfId="0" applyNumberFormat="1" applyFont="1" applyBorder="1" applyAlignment="1">
      <alignment horizontal="center" vertical="center"/>
    </xf>
    <xf numFmtId="2" fontId="26" fillId="0" borderId="5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55" xfId="0" applyNumberFormat="1" applyFont="1" applyBorder="1" applyAlignment="1">
      <alignment horizontal="center" vertical="center"/>
    </xf>
    <xf numFmtId="2" fontId="26" fillId="5" borderId="56" xfId="0" applyNumberFormat="1" applyFont="1" applyFill="1" applyBorder="1" applyAlignment="1">
      <alignment horizontal="center" vertical="center"/>
    </xf>
    <xf numFmtId="0" fontId="1" fillId="0" borderId="57" xfId="0" applyFont="1" applyBorder="1"/>
    <xf numFmtId="0" fontId="27" fillId="0" borderId="57" xfId="0" applyFont="1" applyBorder="1"/>
    <xf numFmtId="165" fontId="28" fillId="6" borderId="58" xfId="0" applyNumberFormat="1" applyFont="1" applyFill="1" applyBorder="1" applyAlignment="1">
      <alignment horizontal="center" vertical="center" wrapText="1"/>
    </xf>
    <xf numFmtId="2" fontId="26" fillId="6" borderId="59" xfId="0" applyNumberFormat="1" applyFont="1" applyFill="1" applyBorder="1" applyAlignment="1">
      <alignment horizontal="center" vertical="center"/>
    </xf>
    <xf numFmtId="2" fontId="26" fillId="6" borderId="60" xfId="0" applyNumberFormat="1" applyFont="1" applyFill="1" applyBorder="1" applyAlignment="1">
      <alignment horizontal="center" vertical="center"/>
    </xf>
    <xf numFmtId="2" fontId="26" fillId="6" borderId="61" xfId="0" applyNumberFormat="1" applyFont="1" applyFill="1" applyBorder="1" applyAlignment="1">
      <alignment horizontal="center" vertical="center"/>
    </xf>
    <xf numFmtId="0" fontId="29" fillId="2" borderId="1" xfId="0" applyFont="1" applyFill="1" applyBorder="1"/>
    <xf numFmtId="0" fontId="30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2" fontId="26" fillId="2" borderId="1" xfId="0" applyNumberFormat="1" applyFont="1" applyFill="1" applyBorder="1" applyAlignment="1">
      <alignment vertical="center"/>
    </xf>
    <xf numFmtId="0" fontId="31" fillId="2" borderId="1" xfId="0" applyFont="1" applyFill="1" applyBorder="1"/>
    <xf numFmtId="0" fontId="9" fillId="0" borderId="62" xfId="0" applyFont="1" applyBorder="1" applyAlignment="1">
      <alignment horizontal="center"/>
    </xf>
    <xf numFmtId="0" fontId="9" fillId="0" borderId="63" xfId="0" applyFont="1" applyBorder="1" applyAlignment="1">
      <alignment horizontal="center"/>
    </xf>
    <xf numFmtId="164" fontId="9" fillId="0" borderId="63" xfId="0" applyNumberFormat="1" applyFont="1" applyBorder="1" applyAlignment="1">
      <alignment horizontal="center"/>
    </xf>
    <xf numFmtId="0" fontId="1" fillId="0" borderId="64" xfId="0" applyFont="1" applyBorder="1" applyAlignment="1">
      <alignment horizontal="center"/>
    </xf>
    <xf numFmtId="0" fontId="1" fillId="6" borderId="16" xfId="0" applyFont="1" applyFill="1" applyBorder="1"/>
    <xf numFmtId="0" fontId="22" fillId="2" borderId="20" xfId="0" applyFont="1" applyFill="1" applyBorder="1" applyAlignment="1">
      <alignment horizontal="center" vertical="center"/>
    </xf>
    <xf numFmtId="0" fontId="22" fillId="2" borderId="2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19" fillId="3" borderId="1" xfId="0" applyFont="1" applyFill="1" applyBorder="1" applyAlignment="1">
      <alignment horizontal="right" vertical="center"/>
    </xf>
    <xf numFmtId="0" fontId="33" fillId="3" borderId="1" xfId="0" applyFont="1" applyFill="1" applyBorder="1" applyAlignment="1">
      <alignment horizontal="right" vertical="center"/>
    </xf>
    <xf numFmtId="0" fontId="9" fillId="4" borderId="5" xfId="0" applyFont="1" applyFill="1" applyBorder="1" applyAlignment="1">
      <alignment horizontal="center"/>
    </xf>
    <xf numFmtId="0" fontId="10" fillId="0" borderId="6" xfId="0" applyFont="1" applyBorder="1"/>
    <xf numFmtId="0" fontId="10" fillId="0" borderId="7" xfId="0" applyFont="1" applyBorder="1"/>
    <xf numFmtId="164" fontId="11" fillId="0" borderId="10" xfId="0" applyNumberFormat="1" applyFont="1" applyBorder="1" applyAlignment="1">
      <alignment horizontal="center" vertical="center"/>
    </xf>
    <xf numFmtId="0" fontId="10" fillId="0" borderId="11" xfId="0" applyFont="1" applyBorder="1"/>
    <xf numFmtId="0" fontId="10" fillId="0" borderId="12" xfId="0" applyFont="1" applyBorder="1"/>
    <xf numFmtId="0" fontId="12" fillId="0" borderId="5" xfId="0" applyFont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right" vertical="center" wrapText="1"/>
    </xf>
    <xf numFmtId="0" fontId="10" fillId="0" borderId="14" xfId="0" applyFont="1" applyBorder="1"/>
    <xf numFmtId="0" fontId="10" fillId="0" borderId="15" xfId="0" applyFont="1" applyBorder="1"/>
    <xf numFmtId="0" fontId="17" fillId="3" borderId="13" xfId="0" applyFont="1" applyFill="1" applyBorder="1" applyAlignment="1">
      <alignment horizontal="center" vertical="center" wrapText="1"/>
    </xf>
    <xf numFmtId="0" fontId="7" fillId="3" borderId="13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/>
    </xf>
    <xf numFmtId="0" fontId="10" fillId="0" borderId="25" xfId="0" applyFont="1" applyBorder="1"/>
    <xf numFmtId="0" fontId="22" fillId="0" borderId="23" xfId="0" applyFont="1" applyBorder="1" applyAlignment="1">
      <alignment horizontal="center" vertical="center"/>
    </xf>
    <xf numFmtId="0" fontId="25" fillId="2" borderId="35" xfId="0" applyFont="1" applyFill="1" applyBorder="1" applyAlignment="1">
      <alignment horizontal="center" vertical="center"/>
    </xf>
    <xf numFmtId="0" fontId="10" fillId="0" borderId="39" xfId="0" applyFont="1" applyBorder="1"/>
    <xf numFmtId="0" fontId="7" fillId="3" borderId="36" xfId="0" applyFont="1" applyFill="1" applyBorder="1" applyAlignment="1">
      <alignment horizontal="center" vertical="center"/>
    </xf>
    <xf numFmtId="0" fontId="10" fillId="0" borderId="37" xfId="0" applyFont="1" applyBorder="1"/>
    <xf numFmtId="0" fontId="10" fillId="0" borderId="38" xfId="0" applyFont="1" applyBorder="1"/>
    <xf numFmtId="0" fontId="10" fillId="0" borderId="40" xfId="0" applyFont="1" applyBorder="1"/>
    <xf numFmtId="0" fontId="10" fillId="0" borderId="41" xfId="0" applyFont="1" applyBorder="1"/>
    <xf numFmtId="0" fontId="10" fillId="0" borderId="42" xfId="0" applyFont="1" applyBorder="1"/>
    <xf numFmtId="0" fontId="25" fillId="2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10" fillId="0" borderId="50" xfId="0" applyFont="1" applyBorder="1"/>
    <xf numFmtId="0" fontId="10" fillId="0" borderId="51" xfId="0" applyFont="1" applyBorder="1"/>
    <xf numFmtId="0" fontId="30" fillId="2" borderId="13" xfId="0" applyFont="1" applyFill="1" applyBorder="1" applyAlignment="1">
      <alignment horizontal="left" wrapText="1"/>
    </xf>
    <xf numFmtId="0" fontId="35" fillId="2" borderId="13" xfId="0" applyFont="1" applyFill="1" applyBorder="1" applyAlignment="1">
      <alignment horizontal="left" wrapText="1"/>
    </xf>
    <xf numFmtId="0" fontId="36" fillId="2" borderId="13" xfId="0" applyFont="1" applyFill="1" applyBorder="1"/>
    <xf numFmtId="0" fontId="36" fillId="2" borderId="13" xfId="0" applyFont="1" applyFill="1" applyBorder="1" applyAlignment="1">
      <alignment horizontal="left"/>
    </xf>
    <xf numFmtId="0" fontId="34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295275</xdr:colOff>
      <xdr:row>0</xdr:row>
      <xdr:rowOff>95250</xdr:rowOff>
    </xdr:from>
    <xdr:ext cx="2428875" cy="3048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141088" y="3641888"/>
          <a:ext cx="2409825" cy="276225"/>
        </a:xfrm>
        <a:prstGeom prst="notchedRight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Exportação / Importação</a:t>
          </a:r>
          <a:endParaRPr sz="1100"/>
        </a:p>
      </xdr:txBody>
    </xdr:sp>
    <xdr:clientData fLocksWithSheet="0"/>
  </xdr:oneCellAnchor>
  <xdr:oneCellAnchor>
    <xdr:from>
      <xdr:col>12</xdr:col>
      <xdr:colOff>228600</xdr:colOff>
      <xdr:row>1</xdr:row>
      <xdr:rowOff>0</xdr:rowOff>
    </xdr:from>
    <xdr:ext cx="1028700" cy="3619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342900</xdr:colOff>
      <xdr:row>1</xdr:row>
      <xdr:rowOff>57150</xdr:rowOff>
    </xdr:from>
    <xdr:ext cx="1514475" cy="4667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333375</xdr:colOff>
      <xdr:row>64</xdr:row>
      <xdr:rowOff>0</xdr:rowOff>
    </xdr:from>
    <xdr:ext cx="1514475" cy="47625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123825</xdr:colOff>
      <xdr:row>2</xdr:row>
      <xdr:rowOff>19050</xdr:rowOff>
    </xdr:from>
    <xdr:ext cx="0" cy="3524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790575</xdr:colOff>
      <xdr:row>1</xdr:row>
      <xdr:rowOff>76200</xdr:rowOff>
    </xdr:from>
    <xdr:ext cx="781050" cy="352425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695325</xdr:colOff>
      <xdr:row>1</xdr:row>
      <xdr:rowOff>76200</xdr:rowOff>
    </xdr:from>
    <xdr:ext cx="781050" cy="3524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342900</xdr:colOff>
      <xdr:row>1</xdr:row>
      <xdr:rowOff>57150</xdr:rowOff>
    </xdr:from>
    <xdr:ext cx="504825" cy="4667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333375</xdr:colOff>
      <xdr:row>72</xdr:row>
      <xdr:rowOff>0</xdr:rowOff>
    </xdr:from>
    <xdr:ext cx="504825" cy="47625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M1000"/>
  <sheetViews>
    <sheetView workbookViewId="0">
      <pane ySplit="6" topLeftCell="A7" activePane="bottomLeft" state="frozen"/>
      <selection pane="bottomLeft" activeCell="J6" sqref="J6:M6"/>
    </sheetView>
  </sheetViews>
  <sheetFormatPr defaultColWidth="14.44140625" defaultRowHeight="15" customHeight="1"/>
  <cols>
    <col min="1" max="2" width="9.109375" hidden="1" customWidth="1"/>
    <col min="3" max="3" width="9.109375" customWidth="1"/>
    <col min="4" max="4" width="27" customWidth="1"/>
    <col min="5" max="5" width="8.6640625" hidden="1" customWidth="1"/>
    <col min="6" max="6" width="8.6640625" customWidth="1"/>
    <col min="7" max="7" width="9.109375" customWidth="1"/>
    <col min="8" max="8" width="35" customWidth="1"/>
    <col min="9" max="9" width="24" customWidth="1"/>
    <col min="10" max="12" width="9.109375" customWidth="1"/>
    <col min="13" max="13" width="26.5546875" customWidth="1"/>
    <col min="14" max="26" width="8.6640625" customWidth="1"/>
  </cols>
  <sheetData>
    <row r="1" spans="3:13" ht="12.75" customHeight="1"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3:13" ht="12.75" customHeight="1">
      <c r="C2" s="1"/>
      <c r="D2" s="2" t="s">
        <v>0</v>
      </c>
      <c r="E2" s="3"/>
      <c r="F2" s="3"/>
      <c r="G2" s="3"/>
      <c r="H2" s="3"/>
      <c r="I2" s="4" t="s">
        <v>518</v>
      </c>
      <c r="J2" s="5"/>
      <c r="K2" s="5"/>
      <c r="L2" s="6"/>
      <c r="M2" s="1"/>
    </row>
    <row r="3" spans="3:13" ht="12.75" customHeight="1">
      <c r="C3" s="1"/>
      <c r="D3" s="1"/>
      <c r="E3" s="7"/>
      <c r="F3" s="7"/>
      <c r="G3" s="7"/>
      <c r="H3" s="7"/>
      <c r="I3" s="7"/>
      <c r="J3" s="7"/>
      <c r="K3" s="7"/>
      <c r="L3" s="7"/>
      <c r="M3" s="7"/>
    </row>
    <row r="4" spans="3:13" ht="12.75" customHeight="1">
      <c r="C4" s="8"/>
      <c r="D4" s="8" t="s">
        <v>2</v>
      </c>
      <c r="E4" s="9"/>
      <c r="F4" s="9"/>
      <c r="G4" s="9"/>
      <c r="H4" s="10"/>
      <c r="I4" s="9"/>
      <c r="J4" s="9"/>
      <c r="K4" s="9"/>
      <c r="L4" s="9"/>
      <c r="M4" s="11" t="s">
        <v>3</v>
      </c>
    </row>
    <row r="5" spans="3:13" ht="12.75" customHeight="1">
      <c r="C5" s="12" t="s">
        <v>4</v>
      </c>
      <c r="D5" s="12" t="s">
        <v>5</v>
      </c>
      <c r="E5" s="12" t="s">
        <v>6</v>
      </c>
      <c r="F5" s="12"/>
      <c r="G5" s="12" t="s">
        <v>7</v>
      </c>
      <c r="H5" s="12" t="s">
        <v>8</v>
      </c>
      <c r="I5" s="12" t="s">
        <v>9</v>
      </c>
      <c r="J5" s="98" t="s">
        <v>10</v>
      </c>
      <c r="K5" s="99"/>
      <c r="L5" s="99"/>
      <c r="M5" s="100"/>
    </row>
    <row r="6" spans="3:13" ht="23.4" customHeight="1">
      <c r="C6" s="13" t="str">
        <f>VLOOKUP(D6,tabela,3,0)</f>
        <v>CL</v>
      </c>
      <c r="D6" s="13" t="s">
        <v>11</v>
      </c>
      <c r="E6" s="13">
        <f>IFERROR(VLOOKUP(D6,'Guia - Out2'!C8:D265,2,0),"")</f>
        <v>1</v>
      </c>
      <c r="F6" s="13"/>
      <c r="G6" s="13" t="str">
        <f>IFERROR(IF(E6=1,"Zona 1",IF(E6=2,"Zona 2",IF(E6=3,"Zona 3",IF(E6=4,"Zona 4",IF(E6=5,"Zona 5",IF(E6=6,"Zona 6",IF(E6=7,"Zona 7"))))))),"Não tem")</f>
        <v>Zona 1</v>
      </c>
      <c r="H6" s="13">
        <v>3</v>
      </c>
      <c r="I6" s="14" t="s">
        <v>512</v>
      </c>
      <c r="J6" s="101" t="str">
        <f>IFERROR(IF(I2="Importação",IF(I6="Documentos",HLOOKUP(G6,Importacao!A12:H17,MATCH(H6,Importacao!A12:A17,0),0),HLOOKUP(G6,Importacao!A20:H520,MATCH(H6,Importacao!A20:A520,0),FALSE)),IF(I6="Documentos",HLOOKUP(G6,Exportacao!A11:H16,MATCH(H6,Exportacao!A11:A16,0),0),HLOOKUP(G6,Exportacao!A19:H519,MATCH(H6,Exportacao!A19:A519,0),FALSE))),"Verifique os campos")</f>
        <v>Verifique os campos</v>
      </c>
      <c r="K6" s="102"/>
      <c r="L6" s="102"/>
      <c r="M6" s="103"/>
    </row>
    <row r="7" spans="3:13" ht="30" customHeight="1">
      <c r="C7" s="104" t="str">
        <f ca="1">IFERROR(UPPER(fExtenso(J6,,"Real","Reais",,,,0)),"Verifique os campos")</f>
        <v>Verifique os campos</v>
      </c>
      <c r="D7" s="99"/>
      <c r="E7" s="99"/>
      <c r="F7" s="99"/>
      <c r="G7" s="99"/>
      <c r="H7" s="99"/>
      <c r="I7" s="99"/>
      <c r="J7" s="99"/>
      <c r="K7" s="99"/>
      <c r="L7" s="99"/>
      <c r="M7" s="100"/>
    </row>
    <row r="8" spans="3:13" ht="12.75" hidden="1" customHeight="1">
      <c r="K8" s="15" t="str">
        <f ca="1">IFERROR(VLOOKUP(G6,INDIRECT(LEFT(G6,1)&amp;"!C:F"),2,0),"")</f>
        <v/>
      </c>
    </row>
    <row r="9" spans="3:13" ht="12.75" customHeight="1"/>
    <row r="10" spans="3:13" ht="12.75" customHeight="1"/>
    <row r="11" spans="3:13" ht="12.75" customHeight="1"/>
    <row r="12" spans="3:13" ht="12.75" customHeight="1"/>
    <row r="13" spans="3:13" ht="12.75" customHeight="1"/>
    <row r="14" spans="3:13" ht="12.75" customHeight="1"/>
    <row r="15" spans="3:13" ht="12.75" customHeight="1"/>
    <row r="16" spans="3:13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J5:M5"/>
    <mergeCell ref="J6:M6"/>
    <mergeCell ref="C7:M7"/>
  </mergeCells>
  <dataValidations count="4">
    <dataValidation type="list" allowBlank="1" showErrorMessage="1" sqref="I2" xr:uid="{00000000-0002-0000-0000-000000000000}">
      <formula1>"IMPORTAÇÃO,EXPORTAÇÃO"</formula1>
    </dataValidation>
    <dataValidation type="list" allowBlank="1" showErrorMessage="1" sqref="H6" xr:uid="{00000000-0002-0000-0000-000001000000}">
      <formula1>pasos</formula1>
    </dataValidation>
    <dataValidation type="list" allowBlank="1" showErrorMessage="1" sqref="I6" xr:uid="{00000000-0002-0000-0000-000002000000}">
      <formula1>"Documentos,Não Documentos"</formula1>
    </dataValidation>
    <dataValidation type="list" allowBlank="1" showErrorMessage="1" sqref="D6" xr:uid="{00000000-0002-0000-0000-000003000000}">
      <formula1>pais</formula1>
    </dataValidation>
  </dataValidation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Z1000"/>
  <sheetViews>
    <sheetView showGridLines="0" workbookViewId="0">
      <pane ySplit="6" topLeftCell="A7" activePane="bottomLeft" state="frozen"/>
      <selection pane="bottomLeft" activeCell="B8" sqref="B8"/>
    </sheetView>
  </sheetViews>
  <sheetFormatPr defaultColWidth="14.44140625" defaultRowHeight="15" customHeight="1"/>
  <cols>
    <col min="1" max="1" width="1.5546875" customWidth="1"/>
    <col min="2" max="2" width="4.44140625" customWidth="1"/>
    <col min="3" max="3" width="27.6640625" customWidth="1"/>
    <col min="4" max="4" width="5" customWidth="1"/>
    <col min="5" max="5" width="2.6640625" customWidth="1"/>
    <col min="6" max="6" width="5.33203125" customWidth="1"/>
    <col min="7" max="7" width="27.6640625" customWidth="1"/>
    <col min="8" max="8" width="5" customWidth="1"/>
    <col min="9" max="9" width="2.6640625" customWidth="1"/>
    <col min="10" max="10" width="5.33203125" customWidth="1"/>
    <col min="11" max="11" width="27.6640625" customWidth="1"/>
    <col min="12" max="12" width="5" customWidth="1"/>
    <col min="13" max="13" width="2.44140625" customWidth="1"/>
    <col min="14" max="14" width="5.33203125" customWidth="1"/>
    <col min="15" max="15" width="27.6640625" customWidth="1"/>
    <col min="16" max="16" width="5" customWidth="1"/>
    <col min="17" max="17" width="2.6640625" customWidth="1"/>
    <col min="18" max="18" width="5.33203125" customWidth="1"/>
    <col min="19" max="19" width="27.6640625" customWidth="1"/>
    <col min="20" max="20" width="5" customWidth="1"/>
    <col min="21" max="21" width="2.6640625" customWidth="1"/>
    <col min="22" max="26" width="12.5546875" customWidth="1"/>
  </cols>
  <sheetData>
    <row r="1" spans="1:26" ht="12.75" customHeight="1">
      <c r="A1" s="16"/>
      <c r="B1" s="16"/>
      <c r="C1" s="16"/>
      <c r="D1" s="16"/>
      <c r="E1" s="16"/>
      <c r="F1" s="16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ht="12.75" customHeight="1">
      <c r="A2" s="1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7"/>
      <c r="V2" s="17"/>
      <c r="W2" s="17"/>
      <c r="X2" s="17"/>
      <c r="Y2" s="17"/>
      <c r="Z2" s="17"/>
    </row>
    <row r="3" spans="1:26" ht="30" customHeight="1">
      <c r="A3" s="17"/>
      <c r="B3" s="105" t="s">
        <v>13</v>
      </c>
      <c r="C3" s="106"/>
      <c r="D3" s="106"/>
      <c r="E3" s="106"/>
      <c r="F3" s="107"/>
      <c r="G3" s="108" t="s">
        <v>14</v>
      </c>
      <c r="H3" s="106"/>
      <c r="I3" s="106"/>
      <c r="J3" s="106"/>
      <c r="K3" s="107"/>
      <c r="L3" s="3"/>
      <c r="M3" s="3"/>
      <c r="N3" s="18"/>
      <c r="O3" s="18"/>
      <c r="P3" s="18"/>
      <c r="Q3" s="1"/>
      <c r="R3" s="1"/>
      <c r="S3" s="1"/>
      <c r="T3" s="1"/>
      <c r="U3" s="17"/>
      <c r="V3" s="17"/>
      <c r="W3" s="17"/>
      <c r="X3" s="17"/>
      <c r="Y3" s="17"/>
      <c r="Z3" s="17"/>
    </row>
    <row r="4" spans="1:26" ht="12.75" customHeight="1">
      <c r="A4" s="1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09" t="s">
        <v>3</v>
      </c>
      <c r="S4" s="106"/>
      <c r="T4" s="107"/>
      <c r="U4" s="17"/>
      <c r="V4" s="17"/>
      <c r="W4" s="17"/>
      <c r="X4" s="17"/>
      <c r="Y4" s="17"/>
      <c r="Z4" s="17"/>
    </row>
    <row r="5" spans="1:26" ht="12.75" customHeight="1">
      <c r="A5" s="17"/>
      <c r="V5" s="17"/>
      <c r="W5" s="17"/>
      <c r="X5" s="17"/>
      <c r="Y5" s="17"/>
      <c r="Z5" s="17"/>
    </row>
    <row r="6" spans="1:26" ht="12.75" customHeight="1">
      <c r="A6" s="17"/>
      <c r="B6" s="17"/>
      <c r="C6" s="19" t="s">
        <v>15</v>
      </c>
      <c r="D6" s="20" t="s">
        <v>6</v>
      </c>
      <c r="E6" s="20" t="s">
        <v>16</v>
      </c>
      <c r="F6" s="17"/>
      <c r="G6" s="17"/>
      <c r="H6" s="17"/>
      <c r="I6" s="21"/>
      <c r="J6" s="17"/>
      <c r="K6" s="17"/>
      <c r="L6" s="17"/>
      <c r="M6" s="17"/>
      <c r="N6" s="17"/>
      <c r="O6" s="17"/>
      <c r="P6" s="17"/>
      <c r="R6" s="17"/>
      <c r="S6" s="17"/>
      <c r="T6" s="17"/>
      <c r="V6" s="17"/>
      <c r="W6" s="17"/>
      <c r="X6" s="17"/>
      <c r="Y6" s="17"/>
      <c r="Z6" s="17"/>
    </row>
    <row r="7" spans="1:26" ht="12.75" customHeight="1">
      <c r="A7" s="17"/>
      <c r="B7" s="17"/>
      <c r="C7" s="22" t="s">
        <v>17</v>
      </c>
      <c r="D7" s="23"/>
      <c r="E7" s="24" t="s">
        <v>18</v>
      </c>
      <c r="F7" s="17"/>
      <c r="G7" s="17"/>
      <c r="H7" s="17"/>
      <c r="I7" s="25"/>
      <c r="J7" s="17"/>
      <c r="K7" s="17"/>
      <c r="L7" s="17"/>
      <c r="M7" s="17"/>
      <c r="N7" s="17"/>
      <c r="O7" s="17"/>
      <c r="P7" s="17"/>
      <c r="Q7" s="25"/>
      <c r="R7" s="17"/>
      <c r="S7" s="17"/>
      <c r="T7" s="17"/>
      <c r="V7" s="17"/>
      <c r="W7" s="17"/>
      <c r="X7" s="17"/>
      <c r="Y7" s="17"/>
      <c r="Z7" s="17"/>
    </row>
    <row r="8" spans="1:26" ht="12.75" customHeight="1">
      <c r="A8" s="17"/>
      <c r="B8" s="17"/>
      <c r="C8" s="26" t="s">
        <v>19</v>
      </c>
      <c r="D8" s="27">
        <v>7</v>
      </c>
      <c r="E8" s="28" t="s">
        <v>20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V8" s="17"/>
      <c r="W8" s="17"/>
      <c r="X8" s="17"/>
      <c r="Y8" s="17"/>
      <c r="Z8" s="17"/>
    </row>
    <row r="9" spans="1:26" ht="12.75" customHeight="1">
      <c r="A9" s="17"/>
      <c r="B9" s="17"/>
      <c r="C9" s="29" t="s">
        <v>21</v>
      </c>
      <c r="D9" s="30">
        <v>6</v>
      </c>
      <c r="E9" s="31" t="s">
        <v>22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V9" s="17"/>
      <c r="W9" s="17"/>
      <c r="X9" s="17"/>
      <c r="Y9" s="17"/>
      <c r="Z9" s="17"/>
    </row>
    <row r="10" spans="1:26" ht="12.75" customHeight="1">
      <c r="A10" s="17"/>
      <c r="B10" s="17"/>
      <c r="C10" s="32" t="s">
        <v>23</v>
      </c>
      <c r="D10" s="33">
        <v>7</v>
      </c>
      <c r="E10" s="34" t="s">
        <v>24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V10" s="17"/>
      <c r="W10" s="17"/>
      <c r="X10" s="17"/>
      <c r="Y10" s="17"/>
      <c r="Z10" s="17"/>
    </row>
    <row r="11" spans="1:26" ht="12.75" customHeight="1">
      <c r="A11" s="17"/>
      <c r="B11" s="17"/>
      <c r="C11" s="29" t="s">
        <v>25</v>
      </c>
      <c r="D11" s="30">
        <v>7</v>
      </c>
      <c r="E11" s="31" t="s">
        <v>26</v>
      </c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V11" s="17"/>
      <c r="W11" s="17"/>
      <c r="X11" s="17"/>
      <c r="Y11" s="17"/>
      <c r="Z11" s="17"/>
    </row>
    <row r="12" spans="1:26" ht="12.75" customHeight="1">
      <c r="A12" s="17"/>
      <c r="B12" s="17"/>
      <c r="C12" s="32" t="s">
        <v>27</v>
      </c>
      <c r="D12" s="33">
        <v>4</v>
      </c>
      <c r="E12" s="34" t="s">
        <v>28</v>
      </c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V12" s="17"/>
      <c r="W12" s="17"/>
      <c r="X12" s="17"/>
      <c r="Y12" s="17"/>
      <c r="Z12" s="17"/>
    </row>
    <row r="13" spans="1:26" ht="12.75" customHeight="1">
      <c r="A13" s="17"/>
      <c r="B13" s="17"/>
      <c r="C13" s="29" t="s">
        <v>29</v>
      </c>
      <c r="D13" s="30">
        <v>7</v>
      </c>
      <c r="E13" s="31" t="s">
        <v>30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V13" s="17"/>
      <c r="W13" s="17"/>
      <c r="X13" s="17"/>
      <c r="Y13" s="17"/>
      <c r="Z13" s="17"/>
    </row>
    <row r="14" spans="1:26" ht="12.75" customHeight="1">
      <c r="A14" s="17"/>
      <c r="B14" s="17"/>
      <c r="C14" s="32" t="s">
        <v>31</v>
      </c>
      <c r="D14" s="33">
        <v>3</v>
      </c>
      <c r="E14" s="34" t="s">
        <v>32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V14" s="17"/>
      <c r="W14" s="17"/>
      <c r="X14" s="17"/>
      <c r="Y14" s="17"/>
      <c r="Z14" s="17"/>
    </row>
    <row r="15" spans="1:26" ht="12.75" customHeight="1">
      <c r="A15" s="17"/>
      <c r="B15" s="17"/>
      <c r="C15" s="29" t="s">
        <v>33</v>
      </c>
      <c r="D15" s="30">
        <v>3</v>
      </c>
      <c r="E15" s="31" t="s">
        <v>34</v>
      </c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V15" s="17"/>
      <c r="W15" s="17"/>
      <c r="X15" s="17"/>
      <c r="Y15" s="17"/>
      <c r="Z15" s="17"/>
    </row>
    <row r="16" spans="1:26" ht="12.75" customHeight="1">
      <c r="A16" s="17"/>
      <c r="B16" s="17"/>
      <c r="C16" s="32" t="s">
        <v>35</v>
      </c>
      <c r="D16" s="33">
        <v>1</v>
      </c>
      <c r="E16" s="34" t="s">
        <v>36</v>
      </c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V16" s="17"/>
      <c r="W16" s="17"/>
      <c r="X16" s="17"/>
      <c r="Y16" s="17"/>
      <c r="Z16" s="17"/>
    </row>
    <row r="17" spans="1:26" ht="12.75" customHeight="1">
      <c r="A17" s="17"/>
      <c r="B17" s="17"/>
      <c r="C17" s="29" t="s">
        <v>37</v>
      </c>
      <c r="D17" s="30">
        <v>6</v>
      </c>
      <c r="E17" s="31" t="s">
        <v>38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V17" s="17"/>
      <c r="W17" s="17"/>
      <c r="X17" s="17"/>
      <c r="Y17" s="17"/>
      <c r="Z17" s="17"/>
    </row>
    <row r="18" spans="1:26" ht="12.75" customHeight="1">
      <c r="A18" s="17"/>
      <c r="B18" s="17"/>
      <c r="C18" s="32" t="s">
        <v>39</v>
      </c>
      <c r="D18" s="33">
        <v>3</v>
      </c>
      <c r="E18" s="34" t="s">
        <v>40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V18" s="17"/>
      <c r="W18" s="17"/>
      <c r="X18" s="17"/>
      <c r="Y18" s="17"/>
      <c r="Z18" s="17"/>
    </row>
    <row r="19" spans="1:26" ht="12.75" customHeight="1">
      <c r="A19" s="17"/>
      <c r="B19" s="17"/>
      <c r="C19" s="29" t="s">
        <v>41</v>
      </c>
      <c r="D19" s="30">
        <v>6</v>
      </c>
      <c r="E19" s="31" t="s">
        <v>42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V19" s="17"/>
      <c r="W19" s="17"/>
      <c r="X19" s="17"/>
      <c r="Y19" s="17"/>
      <c r="Z19" s="17"/>
    </row>
    <row r="20" spans="1:26" ht="12.75" customHeight="1">
      <c r="A20" s="17"/>
      <c r="B20" s="17"/>
      <c r="C20" s="32" t="s">
        <v>43</v>
      </c>
      <c r="D20" s="33">
        <v>4</v>
      </c>
      <c r="E20" s="34" t="s">
        <v>44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V20" s="17"/>
      <c r="W20" s="17"/>
      <c r="X20" s="17"/>
      <c r="Y20" s="17"/>
      <c r="Z20" s="17"/>
    </row>
    <row r="21" spans="1:26" ht="12.75" customHeight="1">
      <c r="A21" s="17"/>
      <c r="B21" s="17"/>
      <c r="C21" s="29" t="s">
        <v>45</v>
      </c>
      <c r="D21" s="30">
        <v>6</v>
      </c>
      <c r="E21" s="31" t="s">
        <v>46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V21" s="17"/>
      <c r="W21" s="17"/>
      <c r="X21" s="17"/>
      <c r="Y21" s="17"/>
      <c r="Z21" s="17"/>
    </row>
    <row r="22" spans="1:26" ht="12.75" customHeight="1">
      <c r="A22" s="17"/>
      <c r="B22" s="17"/>
      <c r="C22" s="32" t="s">
        <v>47</v>
      </c>
      <c r="D22" s="33">
        <v>3</v>
      </c>
      <c r="E22" s="34" t="s">
        <v>48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V22" s="17"/>
      <c r="W22" s="17"/>
      <c r="X22" s="17"/>
      <c r="Y22" s="17"/>
      <c r="Z22" s="17"/>
    </row>
    <row r="23" spans="1:26" ht="12.75" customHeight="1">
      <c r="A23" s="17"/>
      <c r="B23" s="17"/>
      <c r="C23" s="29" t="s">
        <v>49</v>
      </c>
      <c r="D23" s="30">
        <v>6</v>
      </c>
      <c r="E23" s="31" t="s">
        <v>50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V23" s="17"/>
      <c r="W23" s="17"/>
      <c r="X23" s="17"/>
      <c r="Y23" s="17"/>
      <c r="Z23" s="17"/>
    </row>
    <row r="24" spans="1:26" ht="12.75" customHeight="1">
      <c r="A24" s="17"/>
      <c r="B24" s="17"/>
      <c r="C24" s="32" t="s">
        <v>51</v>
      </c>
      <c r="D24" s="33">
        <v>6</v>
      </c>
      <c r="E24" s="34" t="s">
        <v>52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V24" s="17"/>
      <c r="W24" s="17"/>
      <c r="X24" s="17"/>
      <c r="Y24" s="17"/>
      <c r="Z24" s="17"/>
    </row>
    <row r="25" spans="1:26" ht="12.75" customHeight="1">
      <c r="A25" s="17"/>
      <c r="B25" s="17"/>
      <c r="C25" s="29" t="s">
        <v>53</v>
      </c>
      <c r="D25" s="30">
        <v>3</v>
      </c>
      <c r="E25" s="31" t="s">
        <v>54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V25" s="17"/>
      <c r="W25" s="17"/>
      <c r="X25" s="17"/>
      <c r="Y25" s="17"/>
      <c r="Z25" s="17"/>
    </row>
    <row r="26" spans="1:26" ht="12.75" customHeight="1">
      <c r="A26" s="17"/>
      <c r="B26" s="17"/>
      <c r="C26" s="32" t="s">
        <v>55</v>
      </c>
      <c r="D26" s="33">
        <v>6</v>
      </c>
      <c r="E26" s="34" t="s">
        <v>56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V26" s="17"/>
      <c r="W26" s="17"/>
      <c r="X26" s="17"/>
      <c r="Y26" s="17"/>
      <c r="Z26" s="17"/>
    </row>
    <row r="27" spans="1:26" ht="12.75" customHeight="1">
      <c r="A27" s="17"/>
      <c r="B27" s="17"/>
      <c r="C27" s="29" t="s">
        <v>57</v>
      </c>
      <c r="D27" s="30">
        <v>4</v>
      </c>
      <c r="E27" s="31" t="s">
        <v>58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V27" s="17"/>
      <c r="W27" s="17"/>
      <c r="X27" s="17"/>
      <c r="Y27" s="17"/>
      <c r="Z27" s="17"/>
    </row>
    <row r="28" spans="1:26" ht="12.75" customHeight="1">
      <c r="A28" s="17"/>
      <c r="B28" s="17"/>
      <c r="C28" s="32" t="s">
        <v>59</v>
      </c>
      <c r="D28" s="33">
        <v>3</v>
      </c>
      <c r="E28" s="34" t="s">
        <v>60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V28" s="17"/>
      <c r="W28" s="17"/>
      <c r="X28" s="17"/>
      <c r="Y28" s="17"/>
      <c r="Z28" s="17"/>
    </row>
    <row r="29" spans="1:26" ht="12.75" customHeight="1">
      <c r="A29" s="17"/>
      <c r="B29" s="17"/>
      <c r="C29" s="29" t="s">
        <v>61</v>
      </c>
      <c r="D29" s="30">
        <v>7</v>
      </c>
      <c r="E29" s="31" t="s">
        <v>62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V29" s="17"/>
      <c r="W29" s="17"/>
      <c r="X29" s="17"/>
      <c r="Y29" s="17"/>
      <c r="Z29" s="17"/>
    </row>
    <row r="30" spans="1:26" ht="12.75" customHeight="1">
      <c r="A30" s="17"/>
      <c r="B30" s="17"/>
      <c r="C30" s="32" t="s">
        <v>63</v>
      </c>
      <c r="D30" s="33">
        <v>3</v>
      </c>
      <c r="E30" s="34" t="s">
        <v>64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V30" s="17"/>
      <c r="W30" s="17"/>
      <c r="X30" s="17"/>
      <c r="Y30" s="17"/>
      <c r="Z30" s="17"/>
    </row>
    <row r="31" spans="1:26" ht="12.75" customHeight="1">
      <c r="A31" s="17"/>
      <c r="B31" s="17"/>
      <c r="C31" s="29" t="s">
        <v>65</v>
      </c>
      <c r="D31" s="30">
        <v>7</v>
      </c>
      <c r="E31" s="31" t="s">
        <v>66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V31" s="17"/>
      <c r="W31" s="17"/>
      <c r="X31" s="17"/>
      <c r="Y31" s="17"/>
      <c r="Z31" s="17"/>
    </row>
    <row r="32" spans="1:26" ht="12.75" customHeight="1">
      <c r="A32" s="17"/>
      <c r="B32" s="17"/>
      <c r="C32" s="32" t="s">
        <v>67</v>
      </c>
      <c r="D32" s="33">
        <v>3</v>
      </c>
      <c r="E32" s="34" t="s">
        <v>68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V32" s="17"/>
      <c r="W32" s="17"/>
      <c r="X32" s="17"/>
      <c r="Y32" s="17"/>
      <c r="Z32" s="17"/>
    </row>
    <row r="33" spans="1:26" ht="12.75" customHeight="1">
      <c r="A33" s="17"/>
      <c r="B33" s="17"/>
      <c r="C33" s="29" t="s">
        <v>69</v>
      </c>
      <c r="D33" s="30">
        <v>3</v>
      </c>
      <c r="E33" s="31" t="s">
        <v>70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V33" s="17"/>
      <c r="W33" s="17"/>
      <c r="X33" s="17"/>
      <c r="Y33" s="17"/>
      <c r="Z33" s="17"/>
    </row>
    <row r="34" spans="1:26" ht="12.75" customHeight="1">
      <c r="A34" s="17"/>
      <c r="B34" s="17"/>
      <c r="C34" s="32" t="s">
        <v>71</v>
      </c>
      <c r="D34" s="33">
        <v>6</v>
      </c>
      <c r="E34" s="34" t="s">
        <v>72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V34" s="17"/>
      <c r="W34" s="17"/>
      <c r="X34" s="17"/>
      <c r="Y34" s="17"/>
      <c r="Z34" s="17"/>
    </row>
    <row r="35" spans="1:26" ht="12.75" customHeight="1">
      <c r="A35" s="17"/>
      <c r="B35" s="17"/>
      <c r="C35" s="29" t="s">
        <v>73</v>
      </c>
      <c r="D35" s="30">
        <v>7</v>
      </c>
      <c r="E35" s="31" t="s">
        <v>74</v>
      </c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V35" s="17"/>
      <c r="W35" s="17"/>
      <c r="X35" s="17"/>
      <c r="Y35" s="17"/>
      <c r="Z35" s="17"/>
    </row>
    <row r="36" spans="1:26" ht="12.75" customHeight="1">
      <c r="A36" s="17"/>
      <c r="B36" s="17"/>
      <c r="C36" s="32" t="s">
        <v>75</v>
      </c>
      <c r="D36" s="33">
        <v>0</v>
      </c>
      <c r="E36" s="34" t="s">
        <v>76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V36" s="17"/>
      <c r="W36" s="17"/>
      <c r="X36" s="17"/>
      <c r="Y36" s="17"/>
      <c r="Z36" s="17"/>
    </row>
    <row r="37" spans="1:26" ht="12.75" customHeight="1">
      <c r="A37" s="17"/>
      <c r="B37" s="17"/>
      <c r="C37" s="29" t="s">
        <v>77</v>
      </c>
      <c r="D37" s="30">
        <v>6</v>
      </c>
      <c r="E37" s="31" t="s">
        <v>78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V37" s="17"/>
      <c r="W37" s="17"/>
      <c r="X37" s="17"/>
      <c r="Y37" s="17"/>
      <c r="Z37" s="17"/>
    </row>
    <row r="38" spans="1:26" ht="12.75" customHeight="1">
      <c r="A38" s="17"/>
      <c r="B38" s="17"/>
      <c r="C38" s="32" t="s">
        <v>79</v>
      </c>
      <c r="D38" s="33">
        <v>6</v>
      </c>
      <c r="E38" s="34" t="s">
        <v>80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V38" s="17"/>
      <c r="W38" s="17"/>
      <c r="X38" s="17"/>
      <c r="Y38" s="17"/>
      <c r="Z38" s="17"/>
    </row>
    <row r="39" spans="1:26" ht="12.75" customHeight="1">
      <c r="A39" s="17"/>
      <c r="B39" s="17"/>
      <c r="C39" s="29" t="s">
        <v>81</v>
      </c>
      <c r="D39" s="30">
        <v>7</v>
      </c>
      <c r="E39" s="31" t="s">
        <v>82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V39" s="17"/>
      <c r="W39" s="17"/>
      <c r="X39" s="17"/>
      <c r="Y39" s="17"/>
      <c r="Z39" s="17"/>
    </row>
    <row r="40" spans="1:26" ht="12.75" customHeight="1">
      <c r="A40" s="17"/>
      <c r="B40" s="17"/>
      <c r="C40" s="32" t="s">
        <v>83</v>
      </c>
      <c r="D40" s="33">
        <v>7</v>
      </c>
      <c r="E40" s="34" t="s">
        <v>84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V40" s="17"/>
      <c r="W40" s="17"/>
      <c r="X40" s="17"/>
      <c r="Y40" s="17"/>
      <c r="Z40" s="17"/>
    </row>
    <row r="41" spans="1:26" ht="12.75" customHeight="1">
      <c r="A41" s="17"/>
      <c r="B41" s="17"/>
      <c r="C41" s="29" t="s">
        <v>85</v>
      </c>
      <c r="D41" s="30">
        <v>7</v>
      </c>
      <c r="E41" s="31" t="s">
        <v>86</v>
      </c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V41" s="17"/>
      <c r="W41" s="17"/>
      <c r="X41" s="17"/>
      <c r="Y41" s="17"/>
      <c r="Z41" s="17"/>
    </row>
    <row r="42" spans="1:26" ht="12.75" customHeight="1">
      <c r="A42" s="17"/>
      <c r="B42" s="17"/>
      <c r="C42" s="29" t="s">
        <v>87</v>
      </c>
      <c r="D42" s="30">
        <v>7</v>
      </c>
      <c r="E42" s="31" t="s">
        <v>88</v>
      </c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V42" s="17"/>
      <c r="W42" s="17"/>
      <c r="X42" s="17"/>
      <c r="Y42" s="17"/>
      <c r="Z42" s="17"/>
    </row>
    <row r="43" spans="1:26" ht="12.75" customHeight="1">
      <c r="A43" s="17"/>
      <c r="B43" s="17"/>
      <c r="C43" s="32" t="s">
        <v>89</v>
      </c>
      <c r="D43" s="33">
        <v>2</v>
      </c>
      <c r="E43" s="34" t="s">
        <v>90</v>
      </c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V43" s="17"/>
      <c r="W43" s="17"/>
      <c r="X43" s="17"/>
      <c r="Y43" s="17"/>
      <c r="Z43" s="17"/>
    </row>
    <row r="44" spans="1:26" ht="12.75" customHeight="1">
      <c r="A44" s="17"/>
      <c r="B44" s="17"/>
      <c r="C44" s="29" t="s">
        <v>91</v>
      </c>
      <c r="D44" s="30">
        <v>7</v>
      </c>
      <c r="E44" s="31" t="s">
        <v>92</v>
      </c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V44" s="17"/>
      <c r="W44" s="17"/>
      <c r="X44" s="17"/>
      <c r="Y44" s="17"/>
      <c r="Z44" s="17"/>
    </row>
    <row r="45" spans="1:26" ht="12.75" customHeight="1">
      <c r="A45" s="17"/>
      <c r="B45" s="17"/>
      <c r="C45" s="32" t="s">
        <v>93</v>
      </c>
      <c r="D45" s="33">
        <v>7</v>
      </c>
      <c r="E45" s="34" t="s">
        <v>94</v>
      </c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V45" s="17"/>
      <c r="W45" s="17"/>
      <c r="X45" s="17"/>
      <c r="Y45" s="17"/>
      <c r="Z45" s="17"/>
    </row>
    <row r="46" spans="1:26" ht="12.75" customHeight="1">
      <c r="A46" s="17"/>
      <c r="B46" s="17"/>
      <c r="C46" s="29" t="s">
        <v>95</v>
      </c>
      <c r="D46" s="30">
        <v>7</v>
      </c>
      <c r="E46" s="31" t="s">
        <v>96</v>
      </c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V46" s="17"/>
      <c r="W46" s="17"/>
      <c r="X46" s="17"/>
      <c r="Y46" s="17"/>
      <c r="Z46" s="17"/>
    </row>
    <row r="47" spans="1:26" ht="12.75" customHeight="1">
      <c r="A47" s="17"/>
      <c r="B47" s="17"/>
      <c r="C47" s="32" t="s">
        <v>97</v>
      </c>
      <c r="D47" s="33">
        <v>3</v>
      </c>
      <c r="E47" s="34" t="s">
        <v>98</v>
      </c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V47" s="17"/>
      <c r="W47" s="17"/>
      <c r="X47" s="17"/>
      <c r="Y47" s="17"/>
      <c r="Z47" s="17"/>
    </row>
    <row r="48" spans="1:26" ht="12.75" customHeight="1">
      <c r="A48" s="17"/>
      <c r="B48" s="17"/>
      <c r="C48" s="29" t="s">
        <v>99</v>
      </c>
      <c r="D48" s="30">
        <v>7</v>
      </c>
      <c r="E48" s="31" t="s">
        <v>100</v>
      </c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V48" s="17"/>
      <c r="W48" s="17"/>
      <c r="X48" s="17"/>
      <c r="Y48" s="17"/>
      <c r="Z48" s="17"/>
    </row>
    <row r="49" spans="1:26" ht="12.75" customHeight="1">
      <c r="A49" s="17"/>
      <c r="B49" s="17"/>
      <c r="C49" s="32" t="s">
        <v>101</v>
      </c>
      <c r="D49" s="33">
        <v>7</v>
      </c>
      <c r="E49" s="34" t="s">
        <v>102</v>
      </c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V49" s="17"/>
      <c r="W49" s="17"/>
      <c r="X49" s="17"/>
      <c r="Y49" s="17"/>
      <c r="Z49" s="17"/>
    </row>
    <row r="50" spans="1:26" ht="12.75" customHeight="1">
      <c r="A50" s="17"/>
      <c r="B50" s="17"/>
      <c r="C50" s="29" t="s">
        <v>11</v>
      </c>
      <c r="D50" s="30">
        <v>1</v>
      </c>
      <c r="E50" s="31" t="s">
        <v>103</v>
      </c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V50" s="17"/>
      <c r="W50" s="17"/>
      <c r="X50" s="17"/>
      <c r="Y50" s="17"/>
      <c r="Z50" s="17"/>
    </row>
    <row r="51" spans="1:26" ht="12.75" customHeight="1">
      <c r="A51" s="17"/>
      <c r="B51" s="17"/>
      <c r="C51" s="32" t="s">
        <v>104</v>
      </c>
      <c r="D51" s="33">
        <v>5</v>
      </c>
      <c r="E51" s="34" t="s">
        <v>105</v>
      </c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V51" s="17"/>
      <c r="W51" s="17"/>
      <c r="X51" s="17"/>
      <c r="Y51" s="17"/>
      <c r="Z51" s="17"/>
    </row>
    <row r="52" spans="1:26" ht="12.75" customHeight="1">
      <c r="A52" s="17"/>
      <c r="B52" s="17"/>
      <c r="C52" s="29" t="s">
        <v>106</v>
      </c>
      <c r="D52" s="30">
        <v>6</v>
      </c>
      <c r="E52" s="31" t="s">
        <v>42</v>
      </c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V52" s="17"/>
      <c r="W52" s="17"/>
      <c r="X52" s="17"/>
      <c r="Y52" s="17"/>
      <c r="Z52" s="17"/>
    </row>
    <row r="53" spans="1:26" ht="12.75" customHeight="1">
      <c r="A53" s="17"/>
      <c r="B53" s="17"/>
      <c r="C53" s="32" t="s">
        <v>107</v>
      </c>
      <c r="D53" s="33">
        <v>6</v>
      </c>
      <c r="E53" s="34" t="s">
        <v>42</v>
      </c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V53" s="17"/>
      <c r="W53" s="17"/>
      <c r="X53" s="17"/>
      <c r="Y53" s="17"/>
      <c r="Z53" s="17"/>
    </row>
    <row r="54" spans="1:26" ht="12.75" customHeight="1">
      <c r="A54" s="17"/>
      <c r="B54" s="17"/>
      <c r="C54" s="29" t="s">
        <v>108</v>
      </c>
      <c r="D54" s="30">
        <v>3</v>
      </c>
      <c r="E54" s="31" t="s">
        <v>109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V54" s="17"/>
      <c r="W54" s="17"/>
      <c r="X54" s="17"/>
      <c r="Y54" s="17"/>
      <c r="Z54" s="17"/>
    </row>
    <row r="55" spans="1:26" ht="12.75" customHeight="1">
      <c r="A55" s="17"/>
      <c r="B55" s="17"/>
      <c r="C55" s="32" t="s">
        <v>110</v>
      </c>
      <c r="D55" s="33">
        <v>7</v>
      </c>
      <c r="E55" s="34" t="s">
        <v>111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V55" s="17"/>
      <c r="W55" s="17"/>
      <c r="X55" s="17"/>
      <c r="Y55" s="17"/>
      <c r="Z55" s="17"/>
    </row>
    <row r="56" spans="1:26" ht="12.75" customHeight="1">
      <c r="A56" s="17"/>
      <c r="B56" s="17"/>
      <c r="C56" s="29" t="s">
        <v>112</v>
      </c>
      <c r="D56" s="30">
        <v>7</v>
      </c>
      <c r="E56" s="31" t="s">
        <v>113</v>
      </c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V56" s="17"/>
      <c r="W56" s="17"/>
      <c r="X56" s="17"/>
      <c r="Y56" s="17"/>
      <c r="Z56" s="17"/>
    </row>
    <row r="57" spans="1:26" ht="12.75" customHeight="1">
      <c r="A57" s="17"/>
      <c r="B57" s="17"/>
      <c r="C57" s="32" t="s">
        <v>114</v>
      </c>
      <c r="D57" s="33">
        <v>7</v>
      </c>
      <c r="E57" s="34" t="s">
        <v>115</v>
      </c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V57" s="17"/>
      <c r="W57" s="17"/>
      <c r="X57" s="17"/>
      <c r="Y57" s="17"/>
      <c r="Z57" s="17"/>
    </row>
    <row r="58" spans="1:26" ht="12.75" customHeight="1">
      <c r="A58" s="17"/>
      <c r="B58" s="17"/>
      <c r="C58" s="29" t="s">
        <v>116</v>
      </c>
      <c r="D58" s="30">
        <v>7</v>
      </c>
      <c r="E58" s="31" t="s">
        <v>117</v>
      </c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V58" s="17"/>
      <c r="W58" s="17"/>
      <c r="X58" s="17"/>
      <c r="Y58" s="17"/>
      <c r="Z58" s="17"/>
    </row>
    <row r="59" spans="1:26" ht="12.75" customHeight="1">
      <c r="A59" s="17"/>
      <c r="B59" s="17"/>
      <c r="C59" s="32" t="s">
        <v>118</v>
      </c>
      <c r="D59" s="33">
        <v>3</v>
      </c>
      <c r="E59" s="34" t="s">
        <v>119</v>
      </c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V59" s="17"/>
      <c r="W59" s="17"/>
      <c r="X59" s="17"/>
      <c r="Y59" s="17"/>
      <c r="Z59" s="17"/>
    </row>
    <row r="60" spans="1:26" ht="12.75" customHeight="1">
      <c r="A60" s="17"/>
      <c r="B60" s="17"/>
      <c r="C60" s="29" t="s">
        <v>120</v>
      </c>
      <c r="D60" s="30">
        <v>7</v>
      </c>
      <c r="E60" s="31" t="s">
        <v>121</v>
      </c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V60" s="17"/>
      <c r="W60" s="17"/>
      <c r="X60" s="17"/>
      <c r="Y60" s="17"/>
      <c r="Z60" s="17"/>
    </row>
    <row r="61" spans="1:26" ht="12.75" customHeight="1">
      <c r="A61" s="17"/>
      <c r="B61" s="17"/>
      <c r="C61" s="32" t="s">
        <v>122</v>
      </c>
      <c r="D61" s="33">
        <v>6</v>
      </c>
      <c r="E61" s="34" t="s">
        <v>123</v>
      </c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35"/>
      <c r="V61" s="17"/>
      <c r="W61" s="17"/>
      <c r="X61" s="17"/>
      <c r="Y61" s="17"/>
      <c r="Z61" s="17"/>
    </row>
    <row r="62" spans="1:26" ht="12.75" customHeight="1">
      <c r="A62" s="17"/>
      <c r="B62" s="17"/>
      <c r="C62" s="36" t="s">
        <v>124</v>
      </c>
      <c r="D62" s="37">
        <v>3</v>
      </c>
      <c r="E62" s="38" t="s">
        <v>125</v>
      </c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35"/>
      <c r="V62" s="17"/>
      <c r="W62" s="17"/>
      <c r="X62" s="17"/>
      <c r="Y62" s="17"/>
      <c r="Z62" s="17"/>
    </row>
    <row r="63" spans="1:26" ht="12.75" customHeight="1">
      <c r="A63" s="17"/>
      <c r="B63" s="17"/>
      <c r="C63" s="29" t="s">
        <v>126</v>
      </c>
      <c r="D63" s="30">
        <v>3</v>
      </c>
      <c r="E63" s="31" t="s">
        <v>127</v>
      </c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 t="s">
        <v>128</v>
      </c>
      <c r="S63" s="17"/>
      <c r="T63" s="17"/>
      <c r="U63" s="35"/>
      <c r="V63" s="17"/>
      <c r="W63" s="17"/>
      <c r="X63" s="17"/>
      <c r="Y63" s="17"/>
      <c r="Z63" s="17"/>
    </row>
    <row r="64" spans="1:26" ht="12.75" customHeight="1">
      <c r="A64" s="17"/>
      <c r="B64" s="17"/>
      <c r="C64" s="32" t="s">
        <v>129</v>
      </c>
      <c r="D64" s="33">
        <v>4</v>
      </c>
      <c r="E64" s="34" t="s">
        <v>130</v>
      </c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35"/>
      <c r="V64" s="17"/>
      <c r="W64" s="17"/>
      <c r="X64" s="17"/>
      <c r="Y64" s="17"/>
      <c r="Z64" s="17"/>
    </row>
    <row r="65" spans="1:26" ht="12.75" customHeight="1">
      <c r="A65" s="17"/>
      <c r="B65" s="17"/>
      <c r="C65" s="29" t="s">
        <v>131</v>
      </c>
      <c r="D65" s="30">
        <v>4</v>
      </c>
      <c r="E65" s="31" t="s">
        <v>132</v>
      </c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35"/>
      <c r="V65" s="17"/>
      <c r="W65" s="17"/>
      <c r="X65" s="17"/>
      <c r="Y65" s="17"/>
      <c r="Z65" s="17"/>
    </row>
    <row r="66" spans="1:26" ht="12.75" customHeight="1">
      <c r="A66" s="17"/>
      <c r="B66" s="17"/>
      <c r="C66" s="32" t="s">
        <v>133</v>
      </c>
      <c r="D66" s="33">
        <v>7</v>
      </c>
      <c r="E66" s="34" t="s">
        <v>134</v>
      </c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35"/>
      <c r="V66" s="17"/>
      <c r="W66" s="17"/>
      <c r="X66" s="17"/>
      <c r="Y66" s="17"/>
      <c r="Z66" s="17"/>
    </row>
    <row r="67" spans="1:26" ht="12.75" customHeight="1">
      <c r="A67" s="17"/>
      <c r="B67" s="17"/>
      <c r="C67" s="29" t="s">
        <v>135</v>
      </c>
      <c r="D67" s="30">
        <v>3</v>
      </c>
      <c r="E67" s="31" t="s">
        <v>136</v>
      </c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35"/>
      <c r="V67" s="17"/>
      <c r="W67" s="17"/>
      <c r="X67" s="17"/>
      <c r="Y67" s="17"/>
      <c r="Z67" s="17"/>
    </row>
    <row r="68" spans="1:26" ht="12.75" customHeight="1">
      <c r="A68" s="17"/>
      <c r="B68" s="17"/>
      <c r="C68" s="29" t="s">
        <v>137</v>
      </c>
      <c r="D68" s="30">
        <v>7</v>
      </c>
      <c r="E68" s="31" t="s">
        <v>138</v>
      </c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35"/>
      <c r="V68" s="17"/>
      <c r="W68" s="17"/>
      <c r="X68" s="17"/>
      <c r="Y68" s="17"/>
      <c r="Z68" s="17"/>
    </row>
    <row r="69" spans="1:26" ht="12.75" customHeight="1">
      <c r="A69" s="17"/>
      <c r="B69" s="17"/>
      <c r="C69" s="32" t="s">
        <v>139</v>
      </c>
      <c r="D69" s="33">
        <v>7</v>
      </c>
      <c r="E69" s="34" t="s">
        <v>140</v>
      </c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ht="12.75" customHeight="1">
      <c r="A70" s="17"/>
      <c r="B70" s="17"/>
      <c r="C70" s="29" t="s">
        <v>141</v>
      </c>
      <c r="D70" s="30">
        <v>3</v>
      </c>
      <c r="E70" s="31" t="s">
        <v>142</v>
      </c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ht="12.75" customHeight="1">
      <c r="A71" s="17"/>
      <c r="B71" s="17"/>
      <c r="C71" s="32" t="s">
        <v>143</v>
      </c>
      <c r="D71" s="33">
        <v>6</v>
      </c>
      <c r="E71" s="34" t="s">
        <v>144</v>
      </c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ht="12.75" customHeight="1">
      <c r="A72" s="17"/>
      <c r="B72" s="17"/>
      <c r="C72" s="32" t="s">
        <v>145</v>
      </c>
      <c r="D72" s="33">
        <v>3</v>
      </c>
      <c r="E72" s="34" t="s">
        <v>146</v>
      </c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ht="12.75" customHeight="1">
      <c r="A73" s="17"/>
      <c r="B73" s="17"/>
      <c r="C73" s="29" t="s">
        <v>147</v>
      </c>
      <c r="D73" s="30">
        <v>7</v>
      </c>
      <c r="E73" s="31" t="s">
        <v>148</v>
      </c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ht="12.75" customHeight="1">
      <c r="A74" s="17"/>
      <c r="B74" s="17"/>
      <c r="C74" s="32" t="s">
        <v>149</v>
      </c>
      <c r="D74" s="33">
        <v>4</v>
      </c>
      <c r="E74" s="34" t="s">
        <v>150</v>
      </c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ht="12.75" customHeight="1">
      <c r="A75" s="17"/>
      <c r="B75" s="17"/>
      <c r="C75" s="29" t="s">
        <v>151</v>
      </c>
      <c r="D75" s="30">
        <v>7</v>
      </c>
      <c r="E75" s="31" t="s">
        <v>152</v>
      </c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ht="12.75" customHeight="1">
      <c r="A76" s="17"/>
      <c r="B76" s="17"/>
      <c r="C76" s="32" t="s">
        <v>153</v>
      </c>
      <c r="D76" s="33">
        <v>6</v>
      </c>
      <c r="E76" s="34" t="s">
        <v>154</v>
      </c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ht="12.75" customHeight="1">
      <c r="A77" s="17"/>
      <c r="B77" s="17"/>
      <c r="C77" s="29" t="s">
        <v>155</v>
      </c>
      <c r="D77" s="30">
        <v>7</v>
      </c>
      <c r="E77" s="31" t="s">
        <v>156</v>
      </c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ht="12.75" customHeight="1">
      <c r="A78" s="17"/>
      <c r="B78" s="17"/>
      <c r="C78" s="32" t="s">
        <v>157</v>
      </c>
      <c r="D78" s="33">
        <v>6</v>
      </c>
      <c r="E78" s="34" t="s">
        <v>158</v>
      </c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ht="12.75" customHeight="1">
      <c r="A79" s="17"/>
      <c r="B79" s="17"/>
      <c r="C79" s="29" t="s">
        <v>159</v>
      </c>
      <c r="D79" s="30">
        <v>6</v>
      </c>
      <c r="E79" s="31" t="s">
        <v>160</v>
      </c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ht="12.75" customHeight="1">
      <c r="A80" s="17"/>
      <c r="B80" s="17"/>
      <c r="C80" s="32" t="s">
        <v>161</v>
      </c>
      <c r="D80" s="33">
        <v>7</v>
      </c>
      <c r="E80" s="34" t="s">
        <v>162</v>
      </c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ht="12.75" customHeight="1">
      <c r="A81" s="17"/>
      <c r="B81" s="17"/>
      <c r="C81" s="29" t="s">
        <v>163</v>
      </c>
      <c r="D81" s="30">
        <v>4</v>
      </c>
      <c r="E81" s="31" t="s">
        <v>164</v>
      </c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ht="12.75" customHeight="1">
      <c r="A82" s="17"/>
      <c r="B82" s="17"/>
      <c r="C82" s="32" t="s">
        <v>165</v>
      </c>
      <c r="D82" s="33">
        <v>4</v>
      </c>
      <c r="E82" s="34" t="s">
        <v>166</v>
      </c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ht="12.75" customHeight="1">
      <c r="A83" s="17"/>
      <c r="B83" s="17"/>
      <c r="C83" s="32" t="s">
        <v>167</v>
      </c>
      <c r="D83" s="33">
        <v>7</v>
      </c>
      <c r="E83" s="34" t="s">
        <v>168</v>
      </c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ht="12.75" customHeight="1">
      <c r="A84" s="17"/>
      <c r="B84" s="17"/>
      <c r="C84" s="29" t="s">
        <v>169</v>
      </c>
      <c r="D84" s="30">
        <v>7</v>
      </c>
      <c r="E84" s="31" t="s">
        <v>170</v>
      </c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ht="12.75" customHeight="1">
      <c r="A85" s="17"/>
      <c r="B85" s="17"/>
      <c r="C85" s="32" t="s">
        <v>171</v>
      </c>
      <c r="D85" s="33">
        <v>7</v>
      </c>
      <c r="E85" s="34" t="s">
        <v>172</v>
      </c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ht="12.75" customHeight="1">
      <c r="A86" s="17"/>
      <c r="B86" s="17"/>
      <c r="C86" s="29" t="s">
        <v>173</v>
      </c>
      <c r="D86" s="30">
        <v>6</v>
      </c>
      <c r="E86" s="31" t="s">
        <v>174</v>
      </c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ht="12.75" customHeight="1">
      <c r="A87" s="17"/>
      <c r="B87" s="17"/>
      <c r="C87" s="32" t="s">
        <v>175</v>
      </c>
      <c r="D87" s="33">
        <v>4</v>
      </c>
      <c r="E87" s="34" t="s">
        <v>176</v>
      </c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ht="12.75" customHeight="1">
      <c r="A88" s="17"/>
      <c r="B88" s="17"/>
      <c r="C88" s="29" t="s">
        <v>177</v>
      </c>
      <c r="D88" s="30">
        <v>7</v>
      </c>
      <c r="E88" s="31" t="s">
        <v>178</v>
      </c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ht="12.75" customHeight="1">
      <c r="A89" s="17"/>
      <c r="B89" s="17"/>
      <c r="C89" s="32" t="s">
        <v>179</v>
      </c>
      <c r="D89" s="33">
        <v>4</v>
      </c>
      <c r="E89" s="34" t="s">
        <v>180</v>
      </c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ht="12.75" customHeight="1">
      <c r="A90" s="17"/>
      <c r="B90" s="17"/>
      <c r="C90" s="32" t="s">
        <v>181</v>
      </c>
      <c r="D90" s="33">
        <v>6</v>
      </c>
      <c r="E90" s="34" t="s">
        <v>182</v>
      </c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ht="12.75" customHeight="1">
      <c r="A91" s="17"/>
      <c r="B91" s="17"/>
      <c r="C91" s="29" t="s">
        <v>183</v>
      </c>
      <c r="D91" s="30">
        <v>6</v>
      </c>
      <c r="E91" s="31" t="s">
        <v>184</v>
      </c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ht="12.75" customHeight="1">
      <c r="A92" s="17"/>
      <c r="B92" s="17"/>
      <c r="C92" s="32" t="s">
        <v>185</v>
      </c>
      <c r="D92" s="33">
        <v>3</v>
      </c>
      <c r="E92" s="34" t="s">
        <v>186</v>
      </c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ht="12.75" customHeight="1">
      <c r="A93" s="17"/>
      <c r="B93" s="17"/>
      <c r="C93" s="29" t="s">
        <v>187</v>
      </c>
      <c r="D93" s="30">
        <v>3</v>
      </c>
      <c r="E93" s="31" t="s">
        <v>188</v>
      </c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ht="12.75" customHeight="1">
      <c r="A94" s="17"/>
      <c r="B94" s="17"/>
      <c r="C94" s="32" t="s">
        <v>189</v>
      </c>
      <c r="D94" s="33">
        <v>7</v>
      </c>
      <c r="E94" s="34" t="s">
        <v>96</v>
      </c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ht="12.75" customHeight="1">
      <c r="A95" s="17"/>
      <c r="B95" s="17"/>
      <c r="C95" s="29" t="s">
        <v>190</v>
      </c>
      <c r="D95" s="30">
        <v>3</v>
      </c>
      <c r="E95" s="31" t="s">
        <v>191</v>
      </c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ht="12.75" customHeight="1">
      <c r="A96" s="17"/>
      <c r="B96" s="17"/>
      <c r="C96" s="32" t="s">
        <v>192</v>
      </c>
      <c r="D96" s="33">
        <v>6</v>
      </c>
      <c r="E96" s="34" t="s">
        <v>193</v>
      </c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ht="12.75" customHeight="1">
      <c r="A97" s="17"/>
      <c r="B97" s="17"/>
      <c r="C97" s="29" t="s">
        <v>194</v>
      </c>
      <c r="D97" s="30">
        <v>7</v>
      </c>
      <c r="E97" s="31" t="s">
        <v>195</v>
      </c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ht="12.75" customHeight="1">
      <c r="A98" s="17"/>
      <c r="B98" s="17"/>
      <c r="C98" s="32" t="s">
        <v>196</v>
      </c>
      <c r="D98" s="33">
        <v>7</v>
      </c>
      <c r="E98" s="34" t="s">
        <v>197</v>
      </c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ht="12.75" customHeight="1">
      <c r="A99" s="17"/>
      <c r="B99" s="17"/>
      <c r="C99" s="29" t="s">
        <v>198</v>
      </c>
      <c r="D99" s="30">
        <v>7</v>
      </c>
      <c r="E99" s="31" t="s">
        <v>148</v>
      </c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ht="12.75" customHeight="1">
      <c r="A100" s="17"/>
      <c r="B100" s="17"/>
      <c r="C100" s="32" t="s">
        <v>199</v>
      </c>
      <c r="D100" s="33">
        <v>3</v>
      </c>
      <c r="E100" s="34" t="s">
        <v>200</v>
      </c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ht="12.75" customHeight="1">
      <c r="A101" s="17"/>
      <c r="B101" s="17"/>
      <c r="C101" s="29" t="s">
        <v>201</v>
      </c>
      <c r="D101" s="30">
        <v>3</v>
      </c>
      <c r="E101" s="31" t="s">
        <v>202</v>
      </c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ht="12.75" customHeight="1">
      <c r="A102" s="17"/>
      <c r="B102" s="17"/>
      <c r="C102" s="32" t="s">
        <v>203</v>
      </c>
      <c r="D102" s="33">
        <v>3</v>
      </c>
      <c r="E102" s="34" t="s">
        <v>204</v>
      </c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ht="12.75" customHeight="1">
      <c r="A103" s="17"/>
      <c r="B103" s="17"/>
      <c r="C103" s="29" t="s">
        <v>205</v>
      </c>
      <c r="D103" s="30">
        <v>5</v>
      </c>
      <c r="E103" s="31" t="s">
        <v>206</v>
      </c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ht="12.75" customHeight="1">
      <c r="A104" s="17"/>
      <c r="B104" s="17"/>
      <c r="C104" s="32" t="s">
        <v>207</v>
      </c>
      <c r="D104" s="33">
        <v>6</v>
      </c>
      <c r="E104" s="34" t="s">
        <v>208</v>
      </c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ht="12.75" customHeight="1">
      <c r="A105" s="17"/>
      <c r="B105" s="17"/>
      <c r="C105" s="29" t="s">
        <v>209</v>
      </c>
      <c r="D105" s="30">
        <v>4</v>
      </c>
      <c r="E105" s="31" t="s">
        <v>210</v>
      </c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ht="12.75" customHeight="1">
      <c r="A106" s="17"/>
      <c r="B106" s="17"/>
      <c r="C106" s="32" t="s">
        <v>211</v>
      </c>
      <c r="D106" s="33">
        <v>5</v>
      </c>
      <c r="E106" s="34" t="s">
        <v>212</v>
      </c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ht="12.75" customHeight="1">
      <c r="A107" s="17"/>
      <c r="B107" s="17"/>
      <c r="C107" s="29" t="s">
        <v>213</v>
      </c>
      <c r="D107" s="30">
        <v>5</v>
      </c>
      <c r="E107" s="31" t="s">
        <v>214</v>
      </c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ht="12.75" customHeight="1">
      <c r="A108" s="17"/>
      <c r="B108" s="17"/>
      <c r="C108" s="39" t="s">
        <v>215</v>
      </c>
      <c r="D108" s="40">
        <v>7</v>
      </c>
      <c r="E108" s="41" t="s">
        <v>216</v>
      </c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ht="12.75" customHeight="1">
      <c r="A109" s="17"/>
      <c r="B109" s="17"/>
      <c r="C109" s="29" t="s">
        <v>217</v>
      </c>
      <c r="D109" s="30">
        <v>6</v>
      </c>
      <c r="E109" s="31" t="s">
        <v>218</v>
      </c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ht="12.75" customHeight="1">
      <c r="A110" s="17"/>
      <c r="B110" s="17"/>
      <c r="C110" s="32" t="s">
        <v>219</v>
      </c>
      <c r="D110" s="33">
        <v>4</v>
      </c>
      <c r="E110" s="34" t="s">
        <v>150</v>
      </c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ht="12.75" customHeight="1">
      <c r="A111" s="17"/>
      <c r="B111" s="17"/>
      <c r="C111" s="29" t="s">
        <v>220</v>
      </c>
      <c r="D111" s="30">
        <v>4</v>
      </c>
      <c r="E111" s="31" t="s">
        <v>221</v>
      </c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ht="12.75" customHeight="1">
      <c r="A112" s="17"/>
      <c r="B112" s="17"/>
      <c r="C112" s="32" t="s">
        <v>222</v>
      </c>
      <c r="D112" s="33">
        <v>6</v>
      </c>
      <c r="E112" s="34" t="s">
        <v>158</v>
      </c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ht="12.75" customHeight="1">
      <c r="A113" s="17"/>
      <c r="B113" s="17"/>
      <c r="C113" s="29" t="s">
        <v>223</v>
      </c>
      <c r="D113" s="30">
        <v>4</v>
      </c>
      <c r="E113" s="31" t="s">
        <v>150</v>
      </c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ht="12.75" customHeight="1">
      <c r="A114" s="17"/>
      <c r="B114" s="17"/>
      <c r="C114" s="32" t="s">
        <v>224</v>
      </c>
      <c r="D114" s="33">
        <v>6</v>
      </c>
      <c r="E114" s="34" t="s">
        <v>225</v>
      </c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ht="12.75" customHeight="1">
      <c r="A115" s="17"/>
      <c r="B115" s="17"/>
      <c r="C115" s="29" t="s">
        <v>226</v>
      </c>
      <c r="D115" s="30">
        <v>4</v>
      </c>
      <c r="E115" s="31" t="s">
        <v>227</v>
      </c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ht="12.75" customHeight="1">
      <c r="A116" s="17"/>
      <c r="B116" s="17"/>
      <c r="C116" s="32" t="s">
        <v>228</v>
      </c>
      <c r="D116" s="33">
        <v>7</v>
      </c>
      <c r="E116" s="34" t="s">
        <v>121</v>
      </c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ht="12.75" customHeight="1">
      <c r="A117" s="17"/>
      <c r="B117" s="17"/>
      <c r="C117" s="29" t="s">
        <v>229</v>
      </c>
      <c r="D117" s="30">
        <v>3</v>
      </c>
      <c r="E117" s="31" t="s">
        <v>230</v>
      </c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ht="12.75" customHeight="1">
      <c r="A118" s="17"/>
      <c r="B118" s="17"/>
      <c r="C118" s="32" t="s">
        <v>231</v>
      </c>
      <c r="D118" s="33">
        <v>5</v>
      </c>
      <c r="E118" s="34" t="s">
        <v>232</v>
      </c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ht="12.75" customHeight="1">
      <c r="A119" s="17"/>
      <c r="B119" s="17"/>
      <c r="C119" s="29" t="s">
        <v>233</v>
      </c>
      <c r="D119" s="30">
        <v>6</v>
      </c>
      <c r="E119" s="31" t="s">
        <v>234</v>
      </c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ht="12.75" customHeight="1">
      <c r="A120" s="17"/>
      <c r="B120" s="17"/>
      <c r="C120" s="32" t="s">
        <v>235</v>
      </c>
      <c r="D120" s="33">
        <v>6</v>
      </c>
      <c r="E120" s="34" t="s">
        <v>236</v>
      </c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ht="12.75" customHeight="1">
      <c r="A121" s="17"/>
      <c r="B121" s="17"/>
      <c r="C121" s="29" t="s">
        <v>237</v>
      </c>
      <c r="D121" s="30">
        <v>7</v>
      </c>
      <c r="E121" s="31" t="s">
        <v>238</v>
      </c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ht="12.75" customHeight="1">
      <c r="A122" s="17"/>
      <c r="B122" s="17"/>
      <c r="C122" s="32" t="s">
        <v>239</v>
      </c>
      <c r="D122" s="33">
        <v>7</v>
      </c>
      <c r="E122" s="34" t="s">
        <v>240</v>
      </c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ht="12.75" customHeight="1">
      <c r="A123" s="17"/>
      <c r="B123" s="17"/>
      <c r="C123" s="29" t="s">
        <v>241</v>
      </c>
      <c r="D123" s="30">
        <v>7</v>
      </c>
      <c r="E123" s="31" t="s">
        <v>242</v>
      </c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ht="12.75" customHeight="1">
      <c r="A124" s="17"/>
      <c r="B124" s="17"/>
      <c r="C124" s="42" t="s">
        <v>243</v>
      </c>
      <c r="D124" s="33">
        <v>7</v>
      </c>
      <c r="E124" s="33" t="s">
        <v>244</v>
      </c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ht="12.75" customHeight="1">
      <c r="A125" s="17"/>
      <c r="B125" s="17"/>
      <c r="C125" s="43" t="s">
        <v>245</v>
      </c>
      <c r="D125" s="30">
        <v>5</v>
      </c>
      <c r="E125" s="30" t="s">
        <v>246</v>
      </c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ht="12.75" customHeight="1">
      <c r="A126" s="17"/>
      <c r="B126" s="17"/>
      <c r="C126" s="32" t="s">
        <v>247</v>
      </c>
      <c r="D126" s="33">
        <v>6</v>
      </c>
      <c r="E126" s="34" t="s">
        <v>248</v>
      </c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ht="12.75" customHeight="1">
      <c r="A127" s="17"/>
      <c r="B127" s="17"/>
      <c r="C127" s="43" t="s">
        <v>249</v>
      </c>
      <c r="D127" s="30">
        <v>6</v>
      </c>
      <c r="E127" s="30" t="s">
        <v>250</v>
      </c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ht="12.75" customHeight="1">
      <c r="A128" s="17"/>
      <c r="B128" s="17"/>
      <c r="C128" s="42" t="s">
        <v>251</v>
      </c>
      <c r="D128" s="33">
        <v>7</v>
      </c>
      <c r="E128" s="33" t="s">
        <v>252</v>
      </c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ht="12.75" customHeight="1">
      <c r="A129" s="17"/>
      <c r="B129" s="17"/>
      <c r="C129" s="42" t="s">
        <v>253</v>
      </c>
      <c r="D129" s="33">
        <v>6</v>
      </c>
      <c r="E129" s="33" t="s">
        <v>254</v>
      </c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ht="12.75" customHeight="1">
      <c r="A130" s="17"/>
      <c r="B130" s="17"/>
      <c r="C130" s="29" t="s">
        <v>255</v>
      </c>
      <c r="D130" s="30">
        <v>6</v>
      </c>
      <c r="E130" s="31" t="s">
        <v>256</v>
      </c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ht="12.75" customHeight="1">
      <c r="A131" s="17"/>
      <c r="B131" s="17"/>
      <c r="C131" s="32" t="s">
        <v>257</v>
      </c>
      <c r="D131" s="33">
        <v>6</v>
      </c>
      <c r="E131" s="34" t="s">
        <v>258</v>
      </c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ht="12.75" customHeight="1">
      <c r="A132" s="17"/>
      <c r="B132" s="17"/>
      <c r="C132" s="29" t="s">
        <v>259</v>
      </c>
      <c r="D132" s="30">
        <v>7</v>
      </c>
      <c r="E132" s="31" t="s">
        <v>260</v>
      </c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ht="12.75" customHeight="1">
      <c r="A133" s="17"/>
      <c r="B133" s="17"/>
      <c r="C133" s="32" t="s">
        <v>261</v>
      </c>
      <c r="D133" s="33">
        <v>7</v>
      </c>
      <c r="E133" s="34" t="s">
        <v>262</v>
      </c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ht="12.75" customHeight="1">
      <c r="A134" s="17"/>
      <c r="B134" s="17"/>
      <c r="C134" s="29" t="s">
        <v>263</v>
      </c>
      <c r="D134" s="30">
        <v>7</v>
      </c>
      <c r="E134" s="31" t="s">
        <v>264</v>
      </c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1:26" ht="12.75" customHeight="1">
      <c r="A135" s="17"/>
      <c r="B135" s="17"/>
      <c r="C135" s="32" t="s">
        <v>265</v>
      </c>
      <c r="D135" s="33">
        <v>4</v>
      </c>
      <c r="E135" s="34" t="s">
        <v>266</v>
      </c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1:26" ht="12.75" customHeight="1">
      <c r="A136" s="17"/>
      <c r="B136" s="17"/>
      <c r="C136" s="29" t="s">
        <v>267</v>
      </c>
      <c r="D136" s="30">
        <v>6</v>
      </c>
      <c r="E136" s="31" t="s">
        <v>268</v>
      </c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1:26" ht="12.75" customHeight="1">
      <c r="A137" s="17"/>
      <c r="B137" s="17"/>
      <c r="C137" s="32" t="s">
        <v>269</v>
      </c>
      <c r="D137" s="33">
        <v>6</v>
      </c>
      <c r="E137" s="34" t="s">
        <v>42</v>
      </c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1:26" ht="12.75" customHeight="1">
      <c r="A138" s="17"/>
      <c r="B138" s="17"/>
      <c r="C138" s="36" t="s">
        <v>270</v>
      </c>
      <c r="D138" s="37">
        <v>4</v>
      </c>
      <c r="E138" s="38" t="s">
        <v>271</v>
      </c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1:26" ht="12.75" customHeight="1">
      <c r="A139" s="17"/>
      <c r="B139" s="17"/>
      <c r="C139" s="32" t="s">
        <v>272</v>
      </c>
      <c r="D139" s="33">
        <v>5</v>
      </c>
      <c r="E139" s="34" t="s">
        <v>273</v>
      </c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1:26" ht="12.75" customHeight="1">
      <c r="A140" s="17"/>
      <c r="B140" s="17"/>
      <c r="C140" s="43" t="s">
        <v>274</v>
      </c>
      <c r="D140" s="30">
        <v>6</v>
      </c>
      <c r="E140" s="30" t="s">
        <v>275</v>
      </c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1:26" ht="12.75" customHeight="1">
      <c r="A141" s="17"/>
      <c r="B141" s="17"/>
      <c r="C141" s="32" t="s">
        <v>276</v>
      </c>
      <c r="D141" s="33">
        <v>7</v>
      </c>
      <c r="E141" s="34" t="s">
        <v>277</v>
      </c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1:26" ht="12.75" customHeight="1">
      <c r="A142" s="17"/>
      <c r="B142" s="17"/>
      <c r="C142" s="29" t="s">
        <v>278</v>
      </c>
      <c r="D142" s="30">
        <v>7</v>
      </c>
      <c r="E142" s="31" t="s">
        <v>140</v>
      </c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1:26" ht="12.75" customHeight="1">
      <c r="A143" s="17"/>
      <c r="B143" s="17"/>
      <c r="C143" s="32" t="s">
        <v>279</v>
      </c>
      <c r="D143" s="33">
        <v>7</v>
      </c>
      <c r="E143" s="34" t="s">
        <v>280</v>
      </c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1:26" ht="12.75" customHeight="1">
      <c r="A144" s="17"/>
      <c r="B144" s="17"/>
      <c r="C144" s="29" t="s">
        <v>281</v>
      </c>
      <c r="D144" s="30">
        <v>5</v>
      </c>
      <c r="E144" s="31" t="s">
        <v>282</v>
      </c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1:26" ht="12.75" customHeight="1">
      <c r="A145" s="17"/>
      <c r="B145" s="17"/>
      <c r="C145" s="32" t="s">
        <v>283</v>
      </c>
      <c r="D145" s="33">
        <v>7</v>
      </c>
      <c r="E145" s="34" t="s">
        <v>284</v>
      </c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1:26" ht="12.75" customHeight="1">
      <c r="A146" s="17"/>
      <c r="B146" s="17"/>
      <c r="C146" s="29" t="s">
        <v>285</v>
      </c>
      <c r="D146" s="30">
        <v>7</v>
      </c>
      <c r="E146" s="31" t="s">
        <v>286</v>
      </c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1:26" ht="12.75" customHeight="1">
      <c r="A147" s="17"/>
      <c r="B147" s="17"/>
      <c r="C147" s="32" t="s">
        <v>287</v>
      </c>
      <c r="D147" s="33">
        <v>4</v>
      </c>
      <c r="E147" s="34" t="s">
        <v>288</v>
      </c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ht="12.75" customHeight="1">
      <c r="A148" s="17"/>
      <c r="B148" s="17"/>
      <c r="C148" s="29" t="s">
        <v>289</v>
      </c>
      <c r="D148" s="30">
        <v>7</v>
      </c>
      <c r="E148" s="31" t="s">
        <v>26</v>
      </c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ht="12.75" customHeight="1">
      <c r="A149" s="17"/>
      <c r="B149" s="17"/>
      <c r="C149" s="32" t="s">
        <v>290</v>
      </c>
      <c r="D149" s="33">
        <v>7</v>
      </c>
      <c r="E149" s="34" t="s">
        <v>140</v>
      </c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ht="12.75" customHeight="1">
      <c r="A150" s="17"/>
      <c r="B150" s="17"/>
      <c r="C150" s="29" t="s">
        <v>291</v>
      </c>
      <c r="D150" s="30">
        <v>3</v>
      </c>
      <c r="E150" s="31" t="s">
        <v>292</v>
      </c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ht="12.75" customHeight="1">
      <c r="A151" s="17"/>
      <c r="B151" s="17"/>
      <c r="C151" s="32" t="s">
        <v>293</v>
      </c>
      <c r="D151" s="33">
        <v>7</v>
      </c>
      <c r="E151" s="34" t="s">
        <v>294</v>
      </c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ht="12.75" customHeight="1">
      <c r="A152" s="17"/>
      <c r="B152" s="17"/>
      <c r="C152" s="29" t="s">
        <v>295</v>
      </c>
      <c r="D152" s="30">
        <v>7</v>
      </c>
      <c r="E152" s="31" t="s">
        <v>296</v>
      </c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ht="12.75" customHeight="1">
      <c r="A153" s="17"/>
      <c r="B153" s="17"/>
      <c r="C153" s="32" t="s">
        <v>297</v>
      </c>
      <c r="D153" s="33">
        <v>7</v>
      </c>
      <c r="E153" s="34" t="s">
        <v>298</v>
      </c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ht="12.75" customHeight="1">
      <c r="A154" s="17"/>
      <c r="B154" s="17"/>
      <c r="C154" s="29" t="s">
        <v>299</v>
      </c>
      <c r="D154" s="30">
        <v>2</v>
      </c>
      <c r="E154" s="31" t="s">
        <v>300</v>
      </c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ht="12.75" customHeight="1">
      <c r="A155" s="17"/>
      <c r="B155" s="17"/>
      <c r="C155" s="32" t="s">
        <v>301</v>
      </c>
      <c r="D155" s="33">
        <v>7</v>
      </c>
      <c r="E155" s="34" t="s">
        <v>302</v>
      </c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ht="12.75" customHeight="1">
      <c r="A156" s="17"/>
      <c r="B156" s="17"/>
      <c r="C156" s="29" t="s">
        <v>303</v>
      </c>
      <c r="D156" s="30">
        <v>6</v>
      </c>
      <c r="E156" s="31" t="s">
        <v>304</v>
      </c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ht="12.75" customHeight="1">
      <c r="A157" s="17"/>
      <c r="B157" s="17"/>
      <c r="C157" s="32" t="s">
        <v>305</v>
      </c>
      <c r="D157" s="33">
        <v>4</v>
      </c>
      <c r="E157" s="34" t="s">
        <v>306</v>
      </c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ht="12.75" customHeight="1">
      <c r="A158" s="17"/>
      <c r="B158" s="17"/>
      <c r="C158" s="29" t="s">
        <v>307</v>
      </c>
      <c r="D158" s="30">
        <v>7</v>
      </c>
      <c r="E158" s="31" t="s">
        <v>308</v>
      </c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ht="12.75" customHeight="1">
      <c r="A159" s="17"/>
      <c r="B159" s="17"/>
      <c r="C159" s="32" t="s">
        <v>309</v>
      </c>
      <c r="D159" s="33">
        <v>6</v>
      </c>
      <c r="E159" s="34" t="s">
        <v>310</v>
      </c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ht="12.75" customHeight="1">
      <c r="A160" s="17"/>
      <c r="B160" s="17"/>
      <c r="C160" s="29" t="s">
        <v>311</v>
      </c>
      <c r="D160" s="30">
        <v>3</v>
      </c>
      <c r="E160" s="31" t="s">
        <v>312</v>
      </c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ht="12.75" customHeight="1">
      <c r="A161" s="17"/>
      <c r="B161" s="17"/>
      <c r="C161" s="32" t="s">
        <v>313</v>
      </c>
      <c r="D161" s="33">
        <v>7</v>
      </c>
      <c r="E161" s="34" t="s">
        <v>314</v>
      </c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ht="12.75" customHeight="1">
      <c r="A162" s="17"/>
      <c r="B162" s="17"/>
      <c r="C162" s="36" t="s">
        <v>315</v>
      </c>
      <c r="D162" s="37">
        <v>7</v>
      </c>
      <c r="E162" s="38" t="s">
        <v>316</v>
      </c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ht="12.75" customHeight="1">
      <c r="A163" s="17"/>
      <c r="B163" s="17"/>
      <c r="C163" s="36" t="s">
        <v>317</v>
      </c>
      <c r="D163" s="37">
        <v>7</v>
      </c>
      <c r="E163" s="38" t="s">
        <v>84</v>
      </c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ht="12.75" customHeight="1">
      <c r="A164" s="17"/>
      <c r="B164" s="17"/>
      <c r="C164" s="32" t="s">
        <v>318</v>
      </c>
      <c r="D164" s="33">
        <v>3</v>
      </c>
      <c r="E164" s="34" t="s">
        <v>319</v>
      </c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ht="12.75" customHeight="1">
      <c r="A165" s="17"/>
      <c r="B165" s="17"/>
      <c r="C165" s="29" t="s">
        <v>320</v>
      </c>
      <c r="D165" s="30">
        <v>7</v>
      </c>
      <c r="E165" s="31" t="s">
        <v>321</v>
      </c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ht="12.75" customHeight="1">
      <c r="A166" s="17"/>
      <c r="B166" s="17"/>
      <c r="C166" s="32" t="s">
        <v>322</v>
      </c>
      <c r="D166" s="33">
        <v>7</v>
      </c>
      <c r="E166" s="34" t="s">
        <v>323</v>
      </c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ht="12.75" customHeight="1">
      <c r="A167" s="17"/>
      <c r="B167" s="17"/>
      <c r="C167" s="29" t="s">
        <v>324</v>
      </c>
      <c r="D167" s="30">
        <v>7</v>
      </c>
      <c r="E167" s="31" t="s">
        <v>325</v>
      </c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ht="12.75" customHeight="1">
      <c r="A168" s="17"/>
      <c r="B168" s="17"/>
      <c r="C168" s="32" t="s">
        <v>326</v>
      </c>
      <c r="D168" s="33">
        <v>4</v>
      </c>
      <c r="E168" s="34" t="s">
        <v>327</v>
      </c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ht="12.75" customHeight="1">
      <c r="A169" s="17"/>
      <c r="B169" s="17"/>
      <c r="C169" s="29" t="s">
        <v>328</v>
      </c>
      <c r="D169" s="30">
        <v>3</v>
      </c>
      <c r="E169" s="31" t="s">
        <v>329</v>
      </c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ht="12.75" customHeight="1">
      <c r="A170" s="17"/>
      <c r="B170" s="17"/>
      <c r="C170" s="32" t="s">
        <v>330</v>
      </c>
      <c r="D170" s="33">
        <v>7</v>
      </c>
      <c r="E170" s="34" t="s">
        <v>331</v>
      </c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ht="12.75" customHeight="1">
      <c r="A171" s="17"/>
      <c r="B171" s="17"/>
      <c r="C171" s="29" t="s">
        <v>332</v>
      </c>
      <c r="D171" s="30">
        <v>6</v>
      </c>
      <c r="E171" s="31" t="s">
        <v>333</v>
      </c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ht="12.75" customHeight="1">
      <c r="A172" s="17"/>
      <c r="B172" s="17"/>
      <c r="C172" s="32" t="s">
        <v>334</v>
      </c>
      <c r="D172" s="33">
        <v>3</v>
      </c>
      <c r="E172" s="34" t="s">
        <v>335</v>
      </c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ht="12.75" customHeight="1">
      <c r="A173" s="17"/>
      <c r="B173" s="17"/>
      <c r="C173" s="29" t="s">
        <v>336</v>
      </c>
      <c r="D173" s="30">
        <v>7</v>
      </c>
      <c r="E173" s="31" t="s">
        <v>337</v>
      </c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ht="12.75" customHeight="1">
      <c r="A174" s="17"/>
      <c r="B174" s="17"/>
      <c r="C174" s="32" t="s">
        <v>338</v>
      </c>
      <c r="D174" s="33">
        <v>7</v>
      </c>
      <c r="E174" s="34" t="s">
        <v>339</v>
      </c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ht="12.75" customHeight="1">
      <c r="A175" s="17"/>
      <c r="B175" s="17"/>
      <c r="C175" s="29" t="s">
        <v>340</v>
      </c>
      <c r="D175" s="30">
        <v>7</v>
      </c>
      <c r="E175" s="31" t="s">
        <v>341</v>
      </c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ht="12.75" customHeight="1">
      <c r="A176" s="17"/>
      <c r="B176" s="17"/>
      <c r="C176" s="32" t="s">
        <v>342</v>
      </c>
      <c r="D176" s="33">
        <v>6</v>
      </c>
      <c r="E176" s="34" t="s">
        <v>42</v>
      </c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ht="12.75" customHeight="1">
      <c r="A177" s="17"/>
      <c r="B177" s="17"/>
      <c r="C177" s="29" t="s">
        <v>343</v>
      </c>
      <c r="D177" s="30">
        <v>7</v>
      </c>
      <c r="E177" s="31" t="s">
        <v>344</v>
      </c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ht="12.75" customHeight="1">
      <c r="A178" s="17"/>
      <c r="B178" s="17"/>
      <c r="C178" s="32" t="s">
        <v>345</v>
      </c>
      <c r="D178" s="33">
        <v>4</v>
      </c>
      <c r="E178" s="34" t="s">
        <v>346</v>
      </c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ht="12.75" customHeight="1">
      <c r="A179" s="17"/>
      <c r="B179" s="17"/>
      <c r="C179" s="29" t="s">
        <v>347</v>
      </c>
      <c r="D179" s="30">
        <v>6</v>
      </c>
      <c r="E179" s="31" t="s">
        <v>348</v>
      </c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ht="12.75" customHeight="1">
      <c r="A180" s="17"/>
      <c r="B180" s="17"/>
      <c r="C180" s="32" t="s">
        <v>349</v>
      </c>
      <c r="D180" s="33">
        <v>6</v>
      </c>
      <c r="E180" s="34" t="s">
        <v>350</v>
      </c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ht="12.75" customHeight="1">
      <c r="A181" s="17"/>
      <c r="B181" s="17"/>
      <c r="C181" s="44" t="s">
        <v>351</v>
      </c>
      <c r="D181" s="45">
        <v>7</v>
      </c>
      <c r="E181" s="45" t="s">
        <v>352</v>
      </c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ht="12.75" customHeight="1">
      <c r="A182" s="17"/>
      <c r="B182" s="17"/>
      <c r="C182" s="32" t="s">
        <v>353</v>
      </c>
      <c r="D182" s="33">
        <v>3</v>
      </c>
      <c r="E182" s="34" t="s">
        <v>354</v>
      </c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ht="12.75" customHeight="1">
      <c r="A183" s="17"/>
      <c r="B183" s="17"/>
      <c r="C183" s="29" t="s">
        <v>355</v>
      </c>
      <c r="D183" s="30">
        <v>7</v>
      </c>
      <c r="E183" s="31" t="s">
        <v>356</v>
      </c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ht="12.75" customHeight="1">
      <c r="A184" s="17"/>
      <c r="B184" s="17"/>
      <c r="C184" s="32" t="s">
        <v>357</v>
      </c>
      <c r="D184" s="33">
        <v>1</v>
      </c>
      <c r="E184" s="34" t="s">
        <v>358</v>
      </c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ht="12.75" customHeight="1">
      <c r="A185" s="17"/>
      <c r="B185" s="17"/>
      <c r="C185" s="29" t="s">
        <v>359</v>
      </c>
      <c r="D185" s="30">
        <v>3</v>
      </c>
      <c r="E185" s="31" t="s">
        <v>360</v>
      </c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ht="12.75" customHeight="1">
      <c r="A186" s="17"/>
      <c r="B186" s="17"/>
      <c r="C186" s="42" t="s">
        <v>361</v>
      </c>
      <c r="D186" s="33">
        <v>5</v>
      </c>
      <c r="E186" s="33" t="s">
        <v>362</v>
      </c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ht="12.75" customHeight="1">
      <c r="A187" s="17"/>
      <c r="B187" s="17"/>
      <c r="C187" s="46" t="s">
        <v>363</v>
      </c>
      <c r="D187" s="45">
        <v>6</v>
      </c>
      <c r="E187" s="47" t="s">
        <v>364</v>
      </c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ht="12.75" customHeight="1">
      <c r="A188" s="17"/>
      <c r="B188" s="17"/>
      <c r="C188" s="32" t="s">
        <v>365</v>
      </c>
      <c r="D188" s="33">
        <v>4</v>
      </c>
      <c r="E188" s="34" t="s">
        <v>366</v>
      </c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ht="12.75" customHeight="1">
      <c r="A189" s="17"/>
      <c r="B189" s="17"/>
      <c r="C189" s="46" t="s">
        <v>367</v>
      </c>
      <c r="D189" s="45">
        <v>3</v>
      </c>
      <c r="E189" s="47" t="s">
        <v>368</v>
      </c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ht="12.75" customHeight="1">
      <c r="A190" s="17"/>
      <c r="B190" s="17"/>
      <c r="C190" s="29" t="s">
        <v>369</v>
      </c>
      <c r="D190" s="30">
        <v>6</v>
      </c>
      <c r="E190" s="31" t="s">
        <v>370</v>
      </c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ht="12.75" customHeight="1">
      <c r="A191" s="17"/>
      <c r="B191" s="17"/>
      <c r="C191" s="32" t="s">
        <v>371</v>
      </c>
      <c r="D191" s="33">
        <v>7</v>
      </c>
      <c r="E191" s="34" t="s">
        <v>372</v>
      </c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ht="12.75" customHeight="1">
      <c r="A192" s="17"/>
      <c r="B192" s="17"/>
      <c r="C192" s="29" t="s">
        <v>373</v>
      </c>
      <c r="D192" s="30">
        <v>6</v>
      </c>
      <c r="E192" s="31" t="s">
        <v>374</v>
      </c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ht="12.75" customHeight="1">
      <c r="A193" s="17"/>
      <c r="B193" s="17"/>
      <c r="C193" s="32" t="s">
        <v>375</v>
      </c>
      <c r="D193" s="33">
        <v>7</v>
      </c>
      <c r="E193" s="34" t="s">
        <v>96</v>
      </c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ht="12.75" customHeight="1">
      <c r="A194" s="17"/>
      <c r="B194" s="17"/>
      <c r="C194" s="29" t="s">
        <v>376</v>
      </c>
      <c r="D194" s="30">
        <v>6</v>
      </c>
      <c r="E194" s="31" t="s">
        <v>377</v>
      </c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ht="12.75" customHeight="1">
      <c r="A195" s="17"/>
      <c r="B195" s="17"/>
      <c r="C195" s="32" t="s">
        <v>378</v>
      </c>
      <c r="D195" s="33">
        <v>7</v>
      </c>
      <c r="E195" s="34" t="s">
        <v>379</v>
      </c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ht="12.75" customHeight="1">
      <c r="A196" s="17"/>
      <c r="B196" s="17"/>
      <c r="C196" s="29" t="s">
        <v>380</v>
      </c>
      <c r="D196" s="30">
        <v>7</v>
      </c>
      <c r="E196" s="31" t="s">
        <v>381</v>
      </c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ht="12.75" customHeight="1">
      <c r="A197" s="17"/>
      <c r="B197" s="17"/>
      <c r="C197" s="32" t="s">
        <v>382</v>
      </c>
      <c r="D197" s="33">
        <v>7</v>
      </c>
      <c r="E197" s="34" t="s">
        <v>344</v>
      </c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ht="12.75" customHeight="1">
      <c r="A198" s="17"/>
      <c r="B198" s="17"/>
      <c r="C198" s="29" t="s">
        <v>383</v>
      </c>
      <c r="D198" s="30">
        <v>7</v>
      </c>
      <c r="E198" s="31" t="s">
        <v>384</v>
      </c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ht="12.75" customHeight="1">
      <c r="A199" s="17"/>
      <c r="B199" s="17"/>
      <c r="C199" s="32" t="s">
        <v>385</v>
      </c>
      <c r="D199" s="33">
        <v>4</v>
      </c>
      <c r="E199" s="34" t="s">
        <v>386</v>
      </c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ht="12.75" customHeight="1">
      <c r="A200" s="17"/>
      <c r="B200" s="17"/>
      <c r="C200" s="29" t="s">
        <v>387</v>
      </c>
      <c r="D200" s="30">
        <v>7</v>
      </c>
      <c r="E200" s="31" t="s">
        <v>388</v>
      </c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1:26" ht="12.75" customHeight="1">
      <c r="A201" s="17"/>
      <c r="B201" s="17"/>
      <c r="C201" s="32" t="s">
        <v>389</v>
      </c>
      <c r="D201" s="33">
        <v>6</v>
      </c>
      <c r="E201" s="34" t="s">
        <v>390</v>
      </c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1:26" ht="12.75" customHeight="1">
      <c r="A202" s="17"/>
      <c r="B202" s="17"/>
      <c r="C202" s="29" t="s">
        <v>391</v>
      </c>
      <c r="D202" s="30">
        <v>4</v>
      </c>
      <c r="E202" s="31" t="s">
        <v>150</v>
      </c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1:26" ht="12.75" customHeight="1">
      <c r="A203" s="17"/>
      <c r="B203" s="17"/>
      <c r="C203" s="32" t="s">
        <v>392</v>
      </c>
      <c r="D203" s="33">
        <v>7</v>
      </c>
      <c r="E203" s="34" t="s">
        <v>393</v>
      </c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1:26" ht="12.75" customHeight="1">
      <c r="A204" s="17"/>
      <c r="B204" s="17"/>
      <c r="C204" s="29" t="s">
        <v>394</v>
      </c>
      <c r="D204" s="30">
        <v>6</v>
      </c>
      <c r="E204" s="31" t="s">
        <v>395</v>
      </c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1:26" ht="12.75" customHeight="1">
      <c r="A205" s="17"/>
      <c r="B205" s="17"/>
      <c r="C205" s="32" t="s">
        <v>396</v>
      </c>
      <c r="D205" s="33">
        <v>7</v>
      </c>
      <c r="E205" s="34" t="s">
        <v>397</v>
      </c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1:26" ht="12.75" customHeight="1">
      <c r="A206" s="17"/>
      <c r="B206" s="17"/>
      <c r="C206" s="29" t="s">
        <v>398</v>
      </c>
      <c r="D206" s="30">
        <v>7</v>
      </c>
      <c r="E206" s="31" t="s">
        <v>399</v>
      </c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1:26" ht="12.75" customHeight="1">
      <c r="A207" s="17"/>
      <c r="B207" s="17"/>
      <c r="C207" s="32" t="s">
        <v>400</v>
      </c>
      <c r="D207" s="33">
        <v>5</v>
      </c>
      <c r="E207" s="34" t="s">
        <v>401</v>
      </c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1:26" ht="12.75" customHeight="1">
      <c r="A208" s="17"/>
      <c r="B208" s="17"/>
      <c r="C208" s="29" t="s">
        <v>402</v>
      </c>
      <c r="D208" s="30">
        <v>6</v>
      </c>
      <c r="E208" s="31" t="s">
        <v>403</v>
      </c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1:26" ht="12.75" customHeight="1">
      <c r="A209" s="17"/>
      <c r="B209" s="17"/>
      <c r="C209" s="32" t="s">
        <v>404</v>
      </c>
      <c r="D209" s="33">
        <v>6</v>
      </c>
      <c r="E209" s="34" t="s">
        <v>405</v>
      </c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1:26" ht="12.75" customHeight="1">
      <c r="A210" s="17"/>
      <c r="B210" s="17"/>
      <c r="C210" s="29" t="s">
        <v>406</v>
      </c>
      <c r="D210" s="30">
        <v>7</v>
      </c>
      <c r="E210" s="31" t="s">
        <v>407</v>
      </c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1:26" ht="12.75" customHeight="1">
      <c r="A211" s="17"/>
      <c r="B211" s="17"/>
      <c r="C211" s="32" t="s">
        <v>408</v>
      </c>
      <c r="D211" s="33">
        <v>7</v>
      </c>
      <c r="E211" s="34" t="s">
        <v>409</v>
      </c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1:26" ht="12.75" customHeight="1">
      <c r="A212" s="17"/>
      <c r="B212" s="17"/>
      <c r="C212" s="29" t="s">
        <v>410</v>
      </c>
      <c r="D212" s="30">
        <v>7</v>
      </c>
      <c r="E212" s="31" t="s">
        <v>411</v>
      </c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1:26" ht="12.75" customHeight="1">
      <c r="A213" s="17"/>
      <c r="B213" s="17"/>
      <c r="C213" s="32" t="s">
        <v>412</v>
      </c>
      <c r="D213" s="33">
        <v>7</v>
      </c>
      <c r="E213" s="34" t="s">
        <v>381</v>
      </c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1:26" ht="12.75" customHeight="1">
      <c r="A214" s="17"/>
      <c r="B214" s="17"/>
      <c r="C214" s="36" t="s">
        <v>413</v>
      </c>
      <c r="D214" s="37">
        <v>4</v>
      </c>
      <c r="E214" s="38" t="s">
        <v>414</v>
      </c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ht="12.75" customHeight="1">
      <c r="A215" s="17"/>
      <c r="B215" s="17"/>
      <c r="C215" s="29" t="s">
        <v>415</v>
      </c>
      <c r="D215" s="30">
        <v>6</v>
      </c>
      <c r="E215" s="31" t="s">
        <v>416</v>
      </c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1:26" ht="12.75" customHeight="1">
      <c r="A216" s="17"/>
      <c r="B216" s="17"/>
      <c r="C216" s="32" t="s">
        <v>417</v>
      </c>
      <c r="D216" s="33">
        <v>3</v>
      </c>
      <c r="E216" s="34" t="s">
        <v>418</v>
      </c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1:26" ht="12.75" customHeight="1">
      <c r="A217" s="17"/>
      <c r="B217" s="17"/>
      <c r="C217" s="29" t="s">
        <v>419</v>
      </c>
      <c r="D217" s="30">
        <v>3</v>
      </c>
      <c r="E217" s="31" t="s">
        <v>418</v>
      </c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1:26" ht="12.75" customHeight="1">
      <c r="A218" s="17"/>
      <c r="B218" s="17"/>
      <c r="C218" s="32" t="s">
        <v>420</v>
      </c>
      <c r="D218" s="33">
        <v>3</v>
      </c>
      <c r="E218" s="34" t="s">
        <v>418</v>
      </c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1:26" ht="12.75" customHeight="1">
      <c r="A219" s="17"/>
      <c r="B219" s="17"/>
      <c r="C219" s="29" t="s">
        <v>421</v>
      </c>
      <c r="D219" s="30">
        <v>3</v>
      </c>
      <c r="E219" s="31" t="s">
        <v>422</v>
      </c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1:26" ht="12.75" customHeight="1">
      <c r="A220" s="17"/>
      <c r="B220" s="17"/>
      <c r="C220" s="32" t="s">
        <v>423</v>
      </c>
      <c r="D220" s="33">
        <v>3</v>
      </c>
      <c r="E220" s="34" t="s">
        <v>424</v>
      </c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1:26" ht="12.75" customHeight="1">
      <c r="A221" s="17"/>
      <c r="B221" s="17"/>
      <c r="C221" s="29" t="s">
        <v>425</v>
      </c>
      <c r="D221" s="30">
        <v>3</v>
      </c>
      <c r="E221" s="31" t="s">
        <v>426</v>
      </c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1:26" ht="12.75" customHeight="1">
      <c r="A222" s="17"/>
      <c r="B222" s="17"/>
      <c r="C222" s="32" t="s">
        <v>427</v>
      </c>
      <c r="D222" s="33">
        <v>3</v>
      </c>
      <c r="E222" s="34" t="s">
        <v>428</v>
      </c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1:26" ht="12.75" customHeight="1">
      <c r="A223" s="17"/>
      <c r="B223" s="17"/>
      <c r="C223" s="29" t="s">
        <v>429</v>
      </c>
      <c r="D223" s="30">
        <v>3</v>
      </c>
      <c r="E223" s="31" t="s">
        <v>430</v>
      </c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1:26" ht="12.75" customHeight="1">
      <c r="A224" s="17"/>
      <c r="B224" s="17"/>
      <c r="C224" s="32" t="s">
        <v>431</v>
      </c>
      <c r="D224" s="33">
        <v>3</v>
      </c>
      <c r="E224" s="34" t="s">
        <v>432</v>
      </c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1:26" ht="12.75" customHeight="1">
      <c r="A225" s="17"/>
      <c r="B225" s="17"/>
      <c r="C225" s="29" t="s">
        <v>433</v>
      </c>
      <c r="D225" s="30">
        <v>7</v>
      </c>
      <c r="E225" s="31" t="s">
        <v>434</v>
      </c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1:26" ht="12.75" customHeight="1">
      <c r="A226" s="17"/>
      <c r="B226" s="17"/>
      <c r="C226" s="32" t="s">
        <v>435</v>
      </c>
      <c r="D226" s="33">
        <v>3</v>
      </c>
      <c r="E226" s="34" t="s">
        <v>436</v>
      </c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1:26" ht="12.75" customHeight="1">
      <c r="A227" s="17"/>
      <c r="B227" s="17"/>
      <c r="C227" s="29" t="s">
        <v>437</v>
      </c>
      <c r="D227" s="30">
        <v>7</v>
      </c>
      <c r="E227" s="31" t="s">
        <v>438</v>
      </c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1:26" ht="12.75" customHeight="1">
      <c r="A228" s="17"/>
      <c r="B228" s="17"/>
      <c r="C228" s="32" t="s">
        <v>439</v>
      </c>
      <c r="D228" s="33">
        <v>4</v>
      </c>
      <c r="E228" s="34" t="s">
        <v>440</v>
      </c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1:26" ht="12.75" customHeight="1">
      <c r="A229" s="17"/>
      <c r="B229" s="17"/>
      <c r="C229" s="29" t="s">
        <v>441</v>
      </c>
      <c r="D229" s="30">
        <v>4</v>
      </c>
      <c r="E229" s="31" t="s">
        <v>442</v>
      </c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1:26" ht="12.75" customHeight="1">
      <c r="A230" s="17"/>
      <c r="B230" s="17"/>
      <c r="C230" s="32" t="s">
        <v>443</v>
      </c>
      <c r="D230" s="33">
        <v>6</v>
      </c>
      <c r="E230" s="34" t="s">
        <v>444</v>
      </c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1:26" ht="12.75" customHeight="1">
      <c r="A231" s="17"/>
      <c r="B231" s="17"/>
      <c r="C231" s="29" t="s">
        <v>445</v>
      </c>
      <c r="D231" s="30">
        <v>7</v>
      </c>
      <c r="E231" s="31" t="s">
        <v>168</v>
      </c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1:26" ht="12.75" customHeight="1">
      <c r="A232" s="17"/>
      <c r="B232" s="17"/>
      <c r="C232" s="32" t="s">
        <v>446</v>
      </c>
      <c r="D232" s="33">
        <v>5</v>
      </c>
      <c r="E232" s="34" t="s">
        <v>447</v>
      </c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1:26" ht="12.75" customHeight="1">
      <c r="A233" s="17"/>
      <c r="B233" s="17"/>
      <c r="C233" s="29" t="s">
        <v>448</v>
      </c>
      <c r="D233" s="30">
        <v>7</v>
      </c>
      <c r="E233" s="31" t="s">
        <v>449</v>
      </c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1:26" ht="12.75" customHeight="1">
      <c r="A234" s="17"/>
      <c r="B234" s="17"/>
      <c r="C234" s="32" t="s">
        <v>450</v>
      </c>
      <c r="D234" s="33">
        <v>7</v>
      </c>
      <c r="E234" s="34" t="s">
        <v>451</v>
      </c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1:26" ht="12.75" customHeight="1">
      <c r="A235" s="17"/>
      <c r="B235" s="17"/>
      <c r="C235" s="29" t="s">
        <v>452</v>
      </c>
      <c r="D235" s="30">
        <v>6</v>
      </c>
      <c r="E235" s="31" t="s">
        <v>453</v>
      </c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1:26" ht="12.75" customHeight="1">
      <c r="A236" s="17"/>
      <c r="B236" s="17"/>
      <c r="C236" s="32" t="s">
        <v>454</v>
      </c>
      <c r="D236" s="33">
        <v>7</v>
      </c>
      <c r="E236" s="34" t="s">
        <v>344</v>
      </c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1:26" ht="12.75" customHeight="1">
      <c r="A237" s="17"/>
      <c r="B237" s="17"/>
      <c r="C237" s="29" t="s">
        <v>455</v>
      </c>
      <c r="D237" s="30">
        <v>7</v>
      </c>
      <c r="E237" s="31" t="s">
        <v>456</v>
      </c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1:26" ht="12.75" customHeight="1">
      <c r="A238" s="17"/>
      <c r="B238" s="17"/>
      <c r="C238" s="32" t="s">
        <v>457</v>
      </c>
      <c r="D238" s="33">
        <v>7</v>
      </c>
      <c r="E238" s="34" t="s">
        <v>458</v>
      </c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1:26" ht="12.75" customHeight="1">
      <c r="A239" s="17"/>
      <c r="B239" s="17"/>
      <c r="C239" s="29" t="s">
        <v>459</v>
      </c>
      <c r="D239" s="30">
        <v>3</v>
      </c>
      <c r="E239" s="31" t="s">
        <v>460</v>
      </c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1:26" ht="12.75" customHeight="1">
      <c r="A240" s="17"/>
      <c r="B240" s="17"/>
      <c r="C240" s="32" t="s">
        <v>461</v>
      </c>
      <c r="D240" s="33">
        <v>7</v>
      </c>
      <c r="E240" s="34" t="s">
        <v>462</v>
      </c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1:26" ht="12.75" customHeight="1">
      <c r="A241" s="17"/>
      <c r="B241" s="17"/>
      <c r="C241" s="29" t="s">
        <v>463</v>
      </c>
      <c r="D241" s="30">
        <v>6</v>
      </c>
      <c r="E241" s="31" t="s">
        <v>464</v>
      </c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1:26" ht="12.75" customHeight="1">
      <c r="A242" s="17"/>
      <c r="B242" s="17"/>
      <c r="C242" s="32" t="s">
        <v>465</v>
      </c>
      <c r="D242" s="33">
        <v>7</v>
      </c>
      <c r="E242" s="34" t="s">
        <v>466</v>
      </c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1:26" ht="12.75" customHeight="1">
      <c r="A243" s="17"/>
      <c r="B243" s="17"/>
      <c r="C243" s="29" t="s">
        <v>467</v>
      </c>
      <c r="D243" s="30">
        <v>3</v>
      </c>
      <c r="E243" s="31" t="s">
        <v>468</v>
      </c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1:26" ht="12.75" customHeight="1">
      <c r="A244" s="17"/>
      <c r="B244" s="17"/>
      <c r="C244" s="32" t="s">
        <v>469</v>
      </c>
      <c r="D244" s="33">
        <v>7</v>
      </c>
      <c r="E244" s="34" t="s">
        <v>26</v>
      </c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1:26" ht="12.75" customHeight="1">
      <c r="A245" s="17"/>
      <c r="B245" s="17"/>
      <c r="C245" s="29" t="s">
        <v>470</v>
      </c>
      <c r="D245" s="30">
        <v>7</v>
      </c>
      <c r="E245" s="31" t="s">
        <v>471</v>
      </c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1:26" ht="12.75" customHeight="1">
      <c r="A246" s="17"/>
      <c r="B246" s="17"/>
      <c r="C246" s="32" t="s">
        <v>472</v>
      </c>
      <c r="D246" s="33">
        <v>7</v>
      </c>
      <c r="E246" s="34" t="s">
        <v>473</v>
      </c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1:26" ht="12.75" customHeight="1">
      <c r="A247" s="17"/>
      <c r="B247" s="17"/>
      <c r="C247" s="29" t="s">
        <v>474</v>
      </c>
      <c r="D247" s="30">
        <v>6</v>
      </c>
      <c r="E247" s="31" t="s">
        <v>475</v>
      </c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1:26" ht="12.75" customHeight="1">
      <c r="A248" s="17"/>
      <c r="B248" s="17"/>
      <c r="C248" s="32" t="s">
        <v>476</v>
      </c>
      <c r="D248" s="33">
        <v>4</v>
      </c>
      <c r="E248" s="34" t="s">
        <v>150</v>
      </c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1:26" ht="12.75" customHeight="1">
      <c r="A249" s="17"/>
      <c r="B249" s="17"/>
      <c r="C249" s="29" t="s">
        <v>477</v>
      </c>
      <c r="D249" s="30">
        <v>6</v>
      </c>
      <c r="E249" s="31" t="s">
        <v>478</v>
      </c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1:26" ht="12.75" customHeight="1">
      <c r="A250" s="17"/>
      <c r="B250" s="17"/>
      <c r="C250" s="32" t="s">
        <v>479</v>
      </c>
      <c r="D250" s="33">
        <v>4</v>
      </c>
      <c r="E250" s="34" t="s">
        <v>150</v>
      </c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1:26" ht="12.75" customHeight="1">
      <c r="A251" s="17"/>
      <c r="B251" s="17"/>
      <c r="C251" s="29" t="s">
        <v>480</v>
      </c>
      <c r="D251" s="30">
        <v>2</v>
      </c>
      <c r="E251" s="31" t="s">
        <v>481</v>
      </c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1:26" ht="12.75" customHeight="1">
      <c r="A252" s="17"/>
      <c r="B252" s="17"/>
      <c r="C252" s="32" t="s">
        <v>482</v>
      </c>
      <c r="D252" s="33">
        <v>1</v>
      </c>
      <c r="E252" s="34" t="s">
        <v>483</v>
      </c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1:26" ht="12.75" customHeight="1">
      <c r="A253" s="17"/>
      <c r="B253" s="17"/>
      <c r="C253" s="29" t="s">
        <v>484</v>
      </c>
      <c r="D253" s="30">
        <v>6</v>
      </c>
      <c r="E253" s="31" t="s">
        <v>485</v>
      </c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1:26" ht="12.75" customHeight="1">
      <c r="A254" s="17"/>
      <c r="B254" s="17"/>
      <c r="C254" s="32" t="s">
        <v>486</v>
      </c>
      <c r="D254" s="33">
        <v>7</v>
      </c>
      <c r="E254" s="34" t="s">
        <v>487</v>
      </c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1:26" ht="12.75" customHeight="1">
      <c r="A255" s="17"/>
      <c r="B255" s="17"/>
      <c r="C255" s="29" t="s">
        <v>488</v>
      </c>
      <c r="D255" s="30">
        <v>3</v>
      </c>
      <c r="E255" s="31" t="s">
        <v>489</v>
      </c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1:26" ht="12.75" customHeight="1">
      <c r="A256" s="17"/>
      <c r="B256" s="17"/>
      <c r="C256" s="32" t="s">
        <v>490</v>
      </c>
      <c r="D256" s="33">
        <v>6</v>
      </c>
      <c r="E256" s="34" t="s">
        <v>491</v>
      </c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1:26" ht="12.75" customHeight="1">
      <c r="A257" s="17"/>
      <c r="B257" s="17"/>
      <c r="C257" s="29" t="s">
        <v>492</v>
      </c>
      <c r="D257" s="30">
        <v>3</v>
      </c>
      <c r="E257" s="31" t="s">
        <v>493</v>
      </c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1:26" ht="12.75" customHeight="1">
      <c r="A258" s="17"/>
      <c r="B258" s="17"/>
      <c r="C258" s="32" t="s">
        <v>494</v>
      </c>
      <c r="D258" s="33">
        <v>3</v>
      </c>
      <c r="E258" s="34" t="s">
        <v>418</v>
      </c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1:26" ht="12.75" customHeight="1">
      <c r="A259" s="17"/>
      <c r="B259" s="17"/>
      <c r="C259" s="43" t="s">
        <v>495</v>
      </c>
      <c r="D259" s="30">
        <v>4</v>
      </c>
      <c r="E259" s="30" t="s">
        <v>150</v>
      </c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1:26" ht="12.75" customHeight="1">
      <c r="A260" s="17"/>
      <c r="B260" s="17"/>
      <c r="C260" s="42" t="s">
        <v>496</v>
      </c>
      <c r="D260" s="33">
        <v>7</v>
      </c>
      <c r="E260" s="33" t="s">
        <v>162</v>
      </c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1:26" ht="12.75" customHeight="1">
      <c r="A261" s="17"/>
      <c r="B261" s="17"/>
      <c r="C261" s="43" t="s">
        <v>497</v>
      </c>
      <c r="D261" s="30">
        <v>7</v>
      </c>
      <c r="E261" s="30" t="s">
        <v>384</v>
      </c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1:26" ht="12.75" customHeight="1">
      <c r="A262" s="17"/>
      <c r="B262" s="17"/>
      <c r="C262" s="43" t="s">
        <v>498</v>
      </c>
      <c r="D262" s="30">
        <v>7</v>
      </c>
      <c r="E262" s="30" t="s">
        <v>499</v>
      </c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1:26" ht="12.75" customHeight="1">
      <c r="A263" s="17"/>
      <c r="B263" s="17"/>
      <c r="C263" s="42" t="s">
        <v>500</v>
      </c>
      <c r="D263" s="33">
        <v>7</v>
      </c>
      <c r="E263" s="33" t="s">
        <v>501</v>
      </c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1:26" ht="12.75" customHeight="1">
      <c r="A264" s="17"/>
      <c r="B264" s="17"/>
      <c r="C264" s="110" t="s">
        <v>502</v>
      </c>
      <c r="D264" s="112">
        <v>7</v>
      </c>
      <c r="E264" s="112" t="s">
        <v>503</v>
      </c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1:26" ht="12.75" customHeight="1">
      <c r="A265" s="17"/>
      <c r="B265" s="17"/>
      <c r="C265" s="111"/>
      <c r="D265" s="111"/>
      <c r="E265" s="111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1:26" ht="12.75" customHeight="1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1:26" ht="12.75" customHeight="1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1:26" ht="12.75" customHeight="1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1:26" ht="12.75" customHeight="1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1:26" ht="12.75" customHeight="1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1:26" ht="12.75" customHeight="1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1:26" ht="12.75" customHeight="1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1:26" ht="12.75" customHeight="1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1:26" ht="12.75" customHeight="1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1:26" ht="12.75" customHeight="1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1:26" ht="12.75" customHeight="1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1:26" ht="12.75" customHeight="1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1:26" ht="12.75" customHeight="1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1:26" ht="12.75" customHeight="1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1:26" ht="12.75" customHeight="1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1:26" ht="12.75" customHeight="1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1:26" ht="12.75" customHeight="1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1:26" ht="12.75" customHeight="1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1:26" ht="12.75" customHeight="1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1:26" ht="12.75" customHeight="1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1:26" ht="12.75" customHeight="1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1:26" ht="12.75" customHeight="1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1:26" ht="12.75" customHeight="1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1:26" ht="12.75" customHeight="1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1:26" ht="12.75" customHeight="1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1:26" ht="12.75" customHeight="1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1:26" ht="12.75" customHeight="1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1:26" ht="12.75" customHeight="1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1:26" ht="12.75" customHeight="1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1:26" ht="12.75" customHeight="1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1:26" ht="12.75" customHeight="1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1:26" ht="12.75" customHeight="1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1:26" ht="12.75" customHeight="1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1:26" ht="12.75" customHeight="1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1:26" ht="12.75" customHeight="1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1:26" ht="12.75" customHeight="1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1:26" ht="12.75" customHeight="1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1:26" ht="12.75" customHeight="1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1:26" ht="12.75" customHeight="1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1:26" ht="12.75" customHeight="1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1:26" ht="12.75" customHeight="1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1:26" ht="12.75" customHeight="1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1:26" ht="12.75" customHeight="1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1:26" ht="12.75" customHeight="1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1:26" ht="12.75" customHeight="1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1:26" ht="12.75" customHeight="1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1:26" ht="12.75" customHeight="1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1:26" ht="12.75" customHeight="1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1:26" ht="12.75" customHeight="1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1:26" ht="12.75" customHeight="1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1:26" ht="12.75" customHeight="1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1:26" ht="12.75" customHeight="1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1:26" ht="12.75" customHeight="1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1:26" ht="12.75" customHeight="1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1:26" ht="12.75" customHeight="1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1:26" ht="12.75" customHeight="1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1:26" ht="12.75" customHeight="1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1:26" ht="12.75" customHeight="1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 ht="12.75" customHeight="1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1:26" ht="12.75" customHeight="1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1:26" ht="12.75" customHeight="1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1:26" ht="12.75" customHeight="1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1:26" ht="12.75" customHeight="1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1:26" ht="12.75" customHeight="1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1:26" ht="12.75" customHeight="1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1:26" ht="12.75" customHeight="1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1:26" ht="12.75" customHeight="1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1:26" ht="12.75" customHeight="1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1:26" ht="12.75" customHeight="1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1:26" ht="12.75" customHeight="1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 ht="12.75" customHeight="1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1:26" ht="12.75" customHeight="1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1:26" ht="12.75" customHeight="1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1:26" ht="12.75" customHeight="1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1:26" ht="12.75" customHeight="1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1:26" ht="12.75" customHeight="1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1:26" ht="12.75" customHeight="1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1:26" ht="12.75" customHeight="1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1:26" ht="12.75" customHeight="1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1:26" ht="12.75" customHeight="1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1:26" ht="12.75" customHeight="1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 ht="12.75" customHeight="1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1:26" ht="12.75" customHeight="1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1:26" ht="12.75" customHeight="1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1:26" ht="12.75" customHeight="1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1:26" ht="12.75" customHeight="1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1:26" ht="12.75" customHeight="1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1:26" ht="12.75" customHeight="1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1:26" ht="12.75" customHeight="1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 ht="12.75" customHeight="1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1:26" ht="12.75" customHeight="1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1:26" ht="12.75" customHeight="1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1:26" ht="12.75" customHeight="1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ht="12.75" customHeight="1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1:26" ht="12.75" customHeight="1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1:26" ht="12.75" customHeight="1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1:26" ht="12.75" customHeight="1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1:26" ht="12.75" customHeight="1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1:26" ht="12.75" customHeight="1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1:26" ht="12.75" customHeight="1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1:26" ht="12.75" customHeight="1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1:26" ht="12.75" customHeight="1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1:26" ht="12.75" customHeight="1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ht="12.75" customHeight="1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ht="12.75" customHeight="1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ht="12.75" customHeight="1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ht="12.75" customHeight="1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ht="12.75" customHeight="1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ht="12.75" customHeight="1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ht="12.75" customHeight="1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ht="12.75" customHeight="1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ht="12.75" customHeight="1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ht="12.75" customHeight="1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ht="12.75" customHeight="1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ht="12.75" customHeight="1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ht="12.75" customHeight="1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ht="12.75" customHeight="1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ht="12.75" customHeight="1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ht="12.75" customHeight="1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ht="12.75" customHeight="1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ht="12.75" customHeight="1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ht="12.75" customHeight="1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ht="12.75" customHeight="1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ht="12.75" customHeight="1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ht="12.75" customHeight="1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ht="12.75" customHeight="1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ht="12.75" customHeight="1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ht="12.75" customHeight="1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ht="12.75" customHeight="1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ht="12.75" customHeight="1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ht="12.75" customHeight="1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ht="12.75" customHeight="1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ht="12.75" customHeight="1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ht="12.75" customHeight="1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ht="12.75" customHeight="1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ht="12.75" customHeight="1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ht="12.75" customHeight="1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ht="12.75" customHeight="1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ht="12.75" customHeight="1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ht="12.75" customHeight="1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ht="12.75" customHeight="1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ht="12.75" customHeight="1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ht="12.75" customHeight="1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ht="12.75" customHeight="1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ht="12.75" customHeight="1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ht="12.75" customHeight="1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ht="12.75" customHeight="1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ht="12.75" customHeight="1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ht="12.75" customHeight="1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ht="12.75" customHeight="1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ht="12.75" customHeight="1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ht="12.75" customHeight="1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ht="12.75" customHeight="1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ht="12.75" customHeight="1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ht="12.75" customHeight="1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ht="12.75" customHeight="1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ht="12.75" customHeight="1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ht="12.75" customHeight="1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ht="12.75" customHeight="1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ht="12.75" customHeight="1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ht="12.75" customHeight="1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ht="12.75" customHeight="1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ht="12.75" customHeight="1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ht="12.75" customHeight="1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ht="12.75" customHeight="1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ht="12.75" customHeight="1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ht="12.75" customHeight="1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ht="12.75" customHeight="1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ht="12.75" customHeight="1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ht="12.75" customHeight="1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ht="12.75" customHeight="1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ht="12.75" customHeight="1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ht="12.75" customHeight="1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ht="12.75" customHeight="1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ht="12.75" customHeight="1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ht="12.75" customHeight="1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ht="12.75" customHeight="1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ht="12.75" customHeight="1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ht="12.75" customHeight="1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ht="12.75" customHeight="1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ht="12.75" customHeight="1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ht="12.75" customHeight="1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ht="12.75" customHeight="1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ht="12.75" customHeight="1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ht="12.75" customHeight="1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ht="12.75" customHeight="1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ht="12.75" customHeight="1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ht="12.75" customHeight="1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ht="12.75" customHeight="1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ht="12.75" customHeight="1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ht="12.75" customHeight="1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ht="12.75" customHeight="1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ht="12.75" customHeight="1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ht="12.75" customHeight="1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ht="12.75" customHeight="1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ht="12.75" customHeight="1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ht="12.75" customHeight="1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ht="12.75" customHeight="1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ht="12.75" customHeight="1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ht="12.75" customHeight="1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ht="12.75" customHeight="1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ht="12.75" customHeight="1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ht="12.75" customHeight="1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ht="12.75" customHeight="1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ht="12.75" customHeight="1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ht="12.75" customHeight="1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ht="12.75" customHeight="1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ht="12.75" customHeight="1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ht="12.75" customHeight="1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ht="12.75" customHeight="1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ht="12.75" customHeight="1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ht="12.75" customHeight="1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ht="12.75" customHeight="1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ht="12.75" customHeight="1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ht="12.75" customHeight="1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ht="12.75" customHeight="1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ht="12.75" customHeight="1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ht="12.75" customHeight="1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ht="12.75" customHeight="1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ht="12.75" customHeight="1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ht="12.75" customHeight="1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ht="12.75" customHeight="1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ht="12.75" customHeight="1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ht="12.75" customHeight="1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ht="12.75" customHeight="1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ht="12.75" customHeight="1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ht="12.75" customHeight="1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ht="12.75" customHeight="1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ht="12.75" customHeight="1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ht="12.75" customHeight="1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ht="12.75" customHeight="1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ht="12.75" customHeight="1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ht="12.75" customHeight="1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ht="12.75" customHeight="1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ht="12.75" customHeight="1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ht="12.75" customHeight="1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ht="12.75" customHeight="1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ht="12.75" customHeight="1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ht="12.75" customHeight="1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ht="12.75" customHeight="1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ht="12.75" customHeight="1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ht="12.75" customHeight="1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ht="12.75" customHeight="1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ht="12.75" customHeight="1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ht="12.75" customHeight="1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ht="12.75" customHeight="1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ht="12.75" customHeight="1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ht="12.75" customHeight="1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ht="12.75" customHeight="1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ht="12.75" customHeight="1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ht="12.75" customHeight="1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ht="12.75" customHeight="1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ht="12.75" customHeight="1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ht="12.75" customHeight="1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ht="12.75" customHeight="1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ht="12.75" customHeight="1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ht="12.75" customHeight="1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ht="12.75" customHeight="1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ht="12.75" customHeight="1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ht="12.75" customHeight="1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ht="12.75" customHeight="1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ht="12.75" customHeight="1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ht="12.75" customHeight="1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ht="12.75" customHeight="1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ht="12.75" customHeight="1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ht="12.75" customHeight="1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ht="12.75" customHeight="1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ht="12.75" customHeight="1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ht="12.75" customHeight="1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ht="12.75" customHeight="1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ht="12.75" customHeight="1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ht="12.75" customHeight="1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ht="12.75" customHeight="1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ht="12.75" customHeight="1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ht="12.75" customHeight="1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ht="12.75" customHeight="1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ht="12.75" customHeight="1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ht="12.75" customHeight="1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ht="12.75" customHeight="1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ht="12.75" customHeight="1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ht="12.75" customHeight="1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ht="12.75" customHeight="1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ht="12.75" customHeight="1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ht="12.75" customHeight="1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ht="12.75" customHeight="1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ht="12.75" customHeight="1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ht="12.75" customHeight="1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ht="12.75" customHeight="1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ht="12.75" customHeight="1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ht="12.75" customHeight="1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ht="12.75" customHeight="1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ht="12.75" customHeight="1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ht="12.75" customHeight="1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ht="12.75" customHeight="1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ht="12.75" customHeight="1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ht="12.75" customHeight="1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ht="12.75" customHeight="1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ht="12.75" customHeight="1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ht="12.75" customHeight="1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ht="12.75" customHeight="1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ht="12.75" customHeight="1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ht="12.75" customHeight="1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ht="12.75" customHeight="1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ht="12.75" customHeight="1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ht="12.75" customHeight="1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ht="12.75" customHeight="1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ht="12.75" customHeight="1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ht="12.75" customHeight="1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ht="12.75" customHeight="1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ht="12.75" customHeight="1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ht="12.75" customHeight="1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ht="12.75" customHeight="1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ht="12.75" customHeight="1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ht="12.75" customHeight="1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ht="12.75" customHeight="1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ht="12.75" customHeight="1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ht="12.75" customHeight="1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ht="12.75" customHeight="1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ht="12.75" customHeight="1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ht="12.75" customHeight="1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ht="12.75" customHeight="1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ht="12.75" customHeight="1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ht="12.75" customHeight="1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ht="12.75" customHeight="1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ht="12.75" customHeight="1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ht="12.75" customHeight="1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ht="12.75" customHeight="1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ht="12.75" customHeight="1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ht="12.75" customHeight="1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ht="12.75" customHeight="1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ht="12.75" customHeight="1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ht="12.75" customHeight="1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ht="12.75" customHeight="1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ht="12.75" customHeight="1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ht="12.75" customHeight="1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ht="12.75" customHeight="1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ht="12.75" customHeight="1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ht="12.75" customHeight="1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ht="12.75" customHeight="1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ht="12.75" customHeight="1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ht="12.75" customHeight="1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ht="12.75" customHeight="1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ht="12.75" customHeight="1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ht="12.75" customHeight="1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ht="12.75" customHeight="1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ht="12.75" customHeight="1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ht="12.75" customHeight="1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ht="12.75" customHeight="1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ht="12.75" customHeight="1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ht="12.75" customHeight="1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ht="12.75" customHeight="1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ht="12.75" customHeight="1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ht="12.75" customHeight="1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ht="12.75" customHeight="1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ht="12.75" customHeight="1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ht="12.75" customHeight="1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ht="12.75" customHeight="1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ht="12.75" customHeight="1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ht="12.75" customHeight="1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ht="12.75" customHeight="1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ht="12.75" customHeight="1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ht="12.75" customHeight="1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ht="12.75" customHeight="1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ht="12.75" customHeight="1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ht="12.75" customHeight="1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ht="12.75" customHeight="1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ht="12.75" customHeight="1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ht="12.75" customHeight="1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ht="12.75" customHeight="1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ht="12.75" customHeight="1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ht="12.75" customHeight="1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ht="12.75" customHeight="1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ht="12.75" customHeight="1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ht="12.75" customHeight="1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ht="12.75" customHeight="1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ht="12.75" customHeight="1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ht="12.75" customHeight="1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ht="12.75" customHeight="1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ht="12.75" customHeight="1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ht="12.75" customHeight="1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ht="12.75" customHeight="1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ht="12.75" customHeight="1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ht="12.75" customHeight="1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ht="12.75" customHeight="1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ht="12.75" customHeight="1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ht="12.75" customHeight="1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ht="12.75" customHeight="1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ht="12.75" customHeight="1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ht="12.75" customHeight="1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ht="12.75" customHeight="1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ht="12.75" customHeight="1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ht="12.75" customHeight="1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ht="12.75" customHeight="1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ht="12.75" customHeight="1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ht="12.75" customHeight="1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ht="12.75" customHeight="1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ht="12.75" customHeight="1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ht="12.75" customHeight="1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ht="12.75" customHeight="1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ht="12.75" customHeight="1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ht="12.75" customHeight="1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ht="12.75" customHeight="1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ht="12.75" customHeight="1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ht="12.75" customHeight="1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ht="12.75" customHeight="1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ht="12.75" customHeight="1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ht="12.75" customHeight="1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ht="12.75" customHeight="1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ht="12.75" customHeight="1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ht="12.75" customHeight="1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ht="12.75" customHeight="1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ht="12.75" customHeight="1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ht="12.75" customHeight="1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ht="12.75" customHeight="1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ht="12.75" customHeight="1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ht="12.75" customHeight="1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ht="12.75" customHeight="1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ht="12.75" customHeight="1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ht="12.75" customHeight="1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ht="12.75" customHeight="1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ht="12.75" customHeight="1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ht="12.75" customHeight="1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ht="12.75" customHeight="1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ht="12.75" customHeight="1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ht="12.75" customHeight="1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ht="12.75" customHeight="1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ht="12.75" customHeight="1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ht="12.75" customHeight="1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ht="12.75" customHeight="1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ht="12.75" customHeight="1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ht="12.75" customHeight="1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ht="12.75" customHeight="1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ht="12.75" customHeight="1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ht="12.75" customHeight="1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ht="12.75" customHeight="1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ht="12.75" customHeight="1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ht="12.75" customHeight="1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ht="12.75" customHeight="1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ht="12.75" customHeight="1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ht="12.75" customHeight="1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ht="12.75" customHeight="1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ht="12.75" customHeight="1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ht="12.75" customHeight="1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ht="12.75" customHeight="1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ht="12.75" customHeight="1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ht="12.75" customHeight="1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ht="12.75" customHeight="1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ht="12.75" customHeight="1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ht="12.75" customHeight="1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ht="12.75" customHeight="1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ht="12.75" customHeight="1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ht="12.75" customHeight="1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ht="12.75" customHeight="1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ht="12.75" customHeight="1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ht="12.75" customHeight="1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ht="12.75" customHeight="1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ht="12.75" customHeight="1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ht="12.75" customHeight="1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ht="12.75" customHeight="1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ht="12.75" customHeight="1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ht="12.75" customHeight="1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ht="12.75" customHeight="1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ht="12.75" customHeight="1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ht="12.75" customHeight="1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ht="12.75" customHeight="1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ht="12.75" customHeight="1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ht="12.75" customHeight="1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ht="12.75" customHeight="1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ht="12.75" customHeight="1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ht="12.75" customHeight="1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ht="12.75" customHeight="1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ht="12.75" customHeight="1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ht="12.75" customHeight="1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ht="12.75" customHeight="1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ht="12.75" customHeight="1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ht="12.75" customHeight="1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ht="12.75" customHeight="1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ht="12.75" customHeight="1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ht="12.75" customHeight="1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ht="12.75" customHeight="1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ht="12.75" customHeight="1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ht="12.75" customHeight="1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ht="12.75" customHeight="1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ht="12.75" customHeight="1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ht="12.75" customHeight="1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ht="12.75" customHeight="1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ht="12.75" customHeight="1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ht="12.75" customHeight="1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ht="12.75" customHeight="1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ht="12.75" customHeight="1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ht="12.75" customHeight="1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ht="12.75" customHeight="1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ht="12.75" customHeight="1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ht="12.75" customHeight="1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ht="12.75" customHeight="1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ht="12.75" customHeight="1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ht="12.75" customHeight="1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ht="12.75" customHeight="1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ht="12.75" customHeight="1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ht="12.75" customHeight="1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ht="12.75" customHeight="1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ht="12.75" customHeight="1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ht="12.75" customHeight="1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ht="12.75" customHeight="1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ht="12.75" customHeight="1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ht="12.75" customHeight="1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ht="12.75" customHeight="1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ht="12.75" customHeight="1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ht="12.75" customHeight="1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ht="12.75" customHeight="1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ht="12.75" customHeight="1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ht="12.75" customHeight="1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ht="12.75" customHeight="1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ht="12.75" customHeight="1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ht="12.75" customHeight="1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ht="12.75" customHeight="1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ht="12.75" customHeight="1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ht="12.75" customHeight="1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ht="12.75" customHeight="1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ht="12.75" customHeight="1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ht="12.75" customHeight="1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ht="12.75" customHeight="1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ht="12.75" customHeight="1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ht="12.75" customHeight="1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ht="12.75" customHeight="1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ht="12.75" customHeight="1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ht="12.75" customHeight="1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ht="12.75" customHeight="1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ht="12.75" customHeight="1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ht="12.75" customHeight="1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ht="12.75" customHeight="1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ht="12.75" customHeight="1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ht="12.75" customHeight="1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ht="12.75" customHeight="1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ht="12.75" customHeight="1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ht="12.75" customHeight="1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ht="12.75" customHeight="1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ht="12.75" customHeight="1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ht="12.75" customHeight="1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ht="12.75" customHeight="1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ht="12.75" customHeight="1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ht="12.75" customHeight="1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ht="12.75" customHeight="1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ht="12.75" customHeight="1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ht="12.75" customHeight="1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ht="12.75" customHeight="1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ht="12.75" customHeight="1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ht="12.75" customHeight="1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ht="12.75" customHeight="1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ht="12.75" customHeight="1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ht="12.75" customHeight="1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ht="12.75" customHeight="1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ht="12.75" customHeight="1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ht="12.75" customHeight="1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ht="12.75" customHeight="1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ht="12.75" customHeight="1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ht="12.75" customHeight="1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ht="12.75" customHeight="1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ht="12.75" customHeight="1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ht="12.75" customHeight="1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ht="12.75" customHeight="1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ht="12.75" customHeight="1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ht="12.75" customHeight="1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ht="12.75" customHeight="1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ht="12.75" customHeight="1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ht="12.75" customHeight="1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ht="12.75" customHeight="1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ht="12.75" customHeight="1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ht="12.75" customHeight="1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ht="12.75" customHeight="1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ht="12.75" customHeight="1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ht="12.75" customHeight="1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ht="12.75" customHeight="1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ht="12.75" customHeight="1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ht="12.75" customHeight="1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ht="12.75" customHeight="1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ht="12.75" customHeight="1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ht="12.75" customHeight="1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ht="12.75" customHeight="1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ht="12.75" customHeight="1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ht="12.75" customHeight="1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ht="12.75" customHeight="1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ht="12.75" customHeight="1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ht="12.75" customHeight="1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ht="12.75" customHeight="1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ht="12.75" customHeight="1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ht="12.75" customHeight="1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ht="12.75" customHeight="1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ht="12.75" customHeight="1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ht="12.75" customHeight="1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ht="12.75" customHeight="1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ht="12.75" customHeight="1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ht="12.75" customHeight="1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ht="12.75" customHeight="1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ht="12.75" customHeight="1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ht="12.75" customHeight="1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ht="12.75" customHeight="1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ht="12.75" customHeight="1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ht="12.75" customHeight="1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ht="12.75" customHeight="1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ht="12.75" customHeight="1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ht="12.75" customHeight="1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ht="12.75" customHeight="1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ht="12.75" customHeight="1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ht="12.75" customHeight="1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ht="12.75" customHeight="1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ht="12.75" customHeight="1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ht="12.75" customHeight="1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ht="12.75" customHeight="1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ht="12.75" customHeight="1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ht="12.75" customHeight="1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ht="12.75" customHeight="1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ht="12.75" customHeight="1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ht="12.75" customHeight="1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ht="12.75" customHeight="1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ht="12.75" customHeight="1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ht="12.75" customHeight="1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ht="12.75" customHeight="1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ht="12.75" customHeight="1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ht="12.75" customHeight="1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ht="12.75" customHeight="1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ht="12.75" customHeight="1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ht="12.75" customHeight="1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ht="12.75" customHeight="1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ht="12.75" customHeight="1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ht="12.75" customHeight="1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ht="12.75" customHeight="1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ht="12.75" customHeight="1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ht="12.75" customHeight="1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ht="12.75" customHeight="1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ht="12.75" customHeight="1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ht="12.75" customHeight="1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ht="12.75" customHeight="1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ht="12.75" customHeight="1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ht="12.75" customHeight="1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ht="12.75" customHeight="1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ht="12.75" customHeight="1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ht="12.75" customHeight="1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ht="12.75" customHeight="1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ht="12.75" customHeight="1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ht="12.75" customHeight="1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ht="12.75" customHeight="1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ht="12.75" customHeight="1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ht="12.75" customHeight="1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ht="12.75" customHeight="1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ht="12.75" customHeight="1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ht="12.75" customHeight="1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ht="12.75" customHeight="1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ht="12.75" customHeight="1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ht="12.75" customHeight="1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ht="12.75" customHeight="1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ht="12.75" customHeight="1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ht="12.75" customHeight="1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ht="12.75" customHeight="1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ht="12.75" customHeight="1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ht="12.75" customHeight="1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ht="12.75" customHeight="1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ht="12.75" customHeight="1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ht="12.75" customHeight="1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ht="12.75" customHeight="1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ht="12.75" customHeight="1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ht="12.75" customHeight="1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ht="12.75" customHeight="1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ht="12.75" customHeight="1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ht="12.75" customHeight="1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ht="12.75" customHeight="1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ht="12.75" customHeight="1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ht="12.75" customHeight="1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ht="12.75" customHeight="1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ht="12.75" customHeight="1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ht="12.75" customHeight="1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ht="12.75" customHeight="1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ht="12.75" customHeight="1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ht="12.75" customHeight="1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ht="12.75" customHeight="1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ht="12.75" customHeight="1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ht="12.75" customHeight="1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ht="12.75" customHeight="1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ht="12.75" customHeight="1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ht="12.75" customHeight="1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ht="12.75" customHeight="1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ht="12.75" customHeight="1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ht="12.75" customHeight="1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ht="12.75" customHeight="1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ht="12.75" customHeight="1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ht="12.75" customHeight="1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ht="12.75" customHeight="1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ht="12.75" customHeight="1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ht="12.75" customHeight="1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ht="12.75" customHeight="1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ht="12.75" customHeight="1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ht="12.75" customHeight="1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ht="12.75" customHeight="1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ht="12.75" customHeight="1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ht="12.75" customHeight="1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ht="12.75" customHeight="1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ht="12.75" customHeight="1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ht="12.75" customHeight="1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ht="12.75" customHeight="1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ht="12.75" customHeight="1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ht="12.75" customHeight="1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ht="12.75" customHeight="1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ht="12.75" customHeight="1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ht="12.75" customHeight="1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ht="12.75" customHeight="1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ht="12.75" customHeight="1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ht="12.75" customHeight="1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ht="12.75" customHeight="1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ht="12.75" customHeight="1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ht="12.75" customHeight="1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ht="12.75" customHeight="1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ht="12.75" customHeight="1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ht="12.75" customHeight="1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ht="12.75" customHeight="1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ht="12.75" customHeight="1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ht="12.75" customHeight="1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ht="12.75" customHeight="1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ht="12.75" customHeight="1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ht="12.75" customHeight="1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ht="12.75" customHeight="1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ht="12.75" customHeight="1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ht="12.75" customHeight="1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ht="12.75" customHeight="1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ht="12.75" customHeight="1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ht="12.75" customHeight="1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ht="12.75" customHeight="1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ht="12.75" customHeight="1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ht="12.75" customHeight="1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ht="12.75" customHeight="1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ht="12.75" customHeight="1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ht="12.75" customHeight="1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ht="12.75" customHeight="1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ht="12.75" customHeight="1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ht="12.75" customHeight="1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ht="12.75" customHeight="1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</sheetData>
  <mergeCells count="6">
    <mergeCell ref="B3:F3"/>
    <mergeCell ref="G3:K3"/>
    <mergeCell ref="R4:T4"/>
    <mergeCell ref="C264:C265"/>
    <mergeCell ref="D264:D265"/>
    <mergeCell ref="E264:E265"/>
  </mergeCells>
  <printOptions horizontalCentered="1" verticalCentered="1"/>
  <pageMargins left="0.24" right="0.47" top="0.33" bottom="0.21" header="0" footer="0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B1000"/>
  <sheetViews>
    <sheetView workbookViewId="0">
      <pane ySplit="7" topLeftCell="A8" activePane="bottomLeft" state="frozen"/>
      <selection pane="bottomLeft" activeCell="B9" sqref="B9:H10"/>
    </sheetView>
  </sheetViews>
  <sheetFormatPr defaultColWidth="14.44140625" defaultRowHeight="15" customHeight="1"/>
  <cols>
    <col min="1" max="1" width="19.88671875" customWidth="1"/>
    <col min="2" max="4" width="10.6640625" customWidth="1"/>
    <col min="5" max="5" width="40.6640625" customWidth="1"/>
    <col min="6" max="6" width="14" customWidth="1"/>
    <col min="7" max="7" width="7.44140625" customWidth="1"/>
    <col min="8" max="8" width="26.5546875" customWidth="1"/>
    <col min="9" max="9" width="0.5546875" customWidth="1"/>
    <col min="10" max="28" width="9.109375" hidden="1" customWidth="1"/>
  </cols>
  <sheetData>
    <row r="1" spans="1:28" ht="3.75" customHeight="1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</row>
    <row r="2" spans="1:28" ht="12.75" customHeight="1">
      <c r="A2" s="1"/>
      <c r="B2" s="1"/>
      <c r="C2" s="1"/>
      <c r="D2" s="1"/>
      <c r="E2" s="1"/>
      <c r="F2" s="1"/>
      <c r="G2" s="1"/>
      <c r="H2" s="1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</row>
    <row r="3" spans="1:28" ht="12.75" customHeight="1">
      <c r="A3" s="1"/>
      <c r="B3" s="3"/>
      <c r="C3" s="2" t="s">
        <v>0</v>
      </c>
      <c r="D3" s="49" t="s">
        <v>1</v>
      </c>
      <c r="E3" s="50"/>
      <c r="F3" s="5"/>
      <c r="G3" s="1"/>
      <c r="H3" s="1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</row>
    <row r="4" spans="1:28" ht="12.75" customHeight="1">
      <c r="A4" s="51" t="str">
        <f>Consulta!C5</f>
        <v>Sigla</v>
      </c>
      <c r="B4" s="52" t="str">
        <f>Consulta!D5</f>
        <v>País</v>
      </c>
      <c r="C4" s="52" t="str">
        <f>Consulta!G5</f>
        <v xml:space="preserve">Zona </v>
      </c>
      <c r="D4" s="52" t="str">
        <f>Consulta!H5</f>
        <v>Peso</v>
      </c>
      <c r="E4" s="52" t="str">
        <f>Consulta!I5</f>
        <v>Documentos/ Mercadoria</v>
      </c>
      <c r="F4" s="52" t="str">
        <f>Consulta!J5</f>
        <v>Valor</v>
      </c>
      <c r="G4" s="53"/>
      <c r="H4" s="54" t="str">
        <f>Consulta!I2</f>
        <v>IMPORTAÇÃO</v>
      </c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</row>
    <row r="5" spans="1:28" ht="12.75" customHeight="1">
      <c r="A5" s="55" t="str">
        <f>Consulta!C6</f>
        <v>CL</v>
      </c>
      <c r="B5" s="55" t="str">
        <f>Consulta!D6</f>
        <v>Chile</v>
      </c>
      <c r="C5" s="55" t="str">
        <f>Consulta!G6</f>
        <v>Zona 1</v>
      </c>
      <c r="D5" s="55">
        <f>Consulta!H6</f>
        <v>3</v>
      </c>
      <c r="E5" s="55" t="str">
        <f>Consulta!I6</f>
        <v>Documentos</v>
      </c>
      <c r="F5" s="56" t="str">
        <f>Consulta!J6</f>
        <v>Verifique os campos</v>
      </c>
      <c r="G5" s="57"/>
      <c r="H5" s="57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</row>
    <row r="6" spans="1:28" ht="12.75" customHeight="1">
      <c r="A6" s="8" t="s">
        <v>2</v>
      </c>
      <c r="B6" s="9"/>
      <c r="C6" s="10"/>
      <c r="D6" s="9"/>
      <c r="E6" s="9"/>
      <c r="F6" s="9"/>
      <c r="G6" s="9"/>
      <c r="H6" s="11" t="s">
        <v>3</v>
      </c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</row>
    <row r="7" spans="1:28" ht="12.75" customHeight="1">
      <c r="A7" s="58" t="s">
        <v>504</v>
      </c>
      <c r="B7" s="59" t="s">
        <v>505</v>
      </c>
      <c r="C7" s="59" t="s">
        <v>506</v>
      </c>
      <c r="D7" s="59" t="s">
        <v>507</v>
      </c>
      <c r="E7" s="59" t="s">
        <v>508</v>
      </c>
      <c r="F7" s="59" t="s">
        <v>509</v>
      </c>
      <c r="G7" s="59" t="s">
        <v>510</v>
      </c>
      <c r="H7" s="60" t="s">
        <v>511</v>
      </c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</row>
    <row r="8" spans="1:28" ht="12.75" customHeight="1">
      <c r="A8" s="61"/>
      <c r="B8" s="61"/>
      <c r="C8" s="61"/>
      <c r="D8" s="61"/>
      <c r="E8" s="61"/>
      <c r="F8" s="61"/>
      <c r="G8" s="61"/>
      <c r="H8" s="61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</row>
    <row r="9" spans="1:28" ht="12.75" customHeight="1">
      <c r="A9" s="113" t="s">
        <v>8</v>
      </c>
      <c r="B9" s="115" t="s">
        <v>512</v>
      </c>
      <c r="C9" s="116"/>
      <c r="D9" s="116"/>
      <c r="E9" s="116"/>
      <c r="F9" s="116"/>
      <c r="G9" s="116"/>
      <c r="H9" s="117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</row>
    <row r="10" spans="1:28" ht="12.75" customHeight="1">
      <c r="A10" s="114"/>
      <c r="B10" s="118"/>
      <c r="C10" s="119"/>
      <c r="D10" s="119"/>
      <c r="E10" s="119"/>
      <c r="F10" s="119"/>
      <c r="G10" s="119"/>
      <c r="H10" s="120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</row>
    <row r="11" spans="1:28" ht="12.75" customHeight="1">
      <c r="A11" s="58" t="s">
        <v>504</v>
      </c>
      <c r="B11" s="59" t="s">
        <v>505</v>
      </c>
      <c r="C11" s="59" t="s">
        <v>506</v>
      </c>
      <c r="D11" s="59" t="s">
        <v>507</v>
      </c>
      <c r="E11" s="59" t="s">
        <v>508</v>
      </c>
      <c r="F11" s="59" t="s">
        <v>509</v>
      </c>
      <c r="G11" s="59" t="s">
        <v>510</v>
      </c>
      <c r="H11" s="60" t="s">
        <v>511</v>
      </c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</row>
    <row r="12" spans="1:28" ht="12.75" customHeight="1">
      <c r="A12" s="62">
        <v>0.5</v>
      </c>
      <c r="B12" s="63">
        <v>163.65</v>
      </c>
      <c r="C12" s="63">
        <v>167.26</v>
      </c>
      <c r="D12" s="63">
        <v>198.24</v>
      </c>
      <c r="E12" s="63">
        <v>220.01</v>
      </c>
      <c r="F12" s="63">
        <v>220.09</v>
      </c>
      <c r="G12" s="63">
        <v>286.02</v>
      </c>
      <c r="H12" s="64">
        <v>367.85</v>
      </c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</row>
    <row r="13" spans="1:28" ht="12.75" customHeight="1">
      <c r="A13" s="65">
        <v>1</v>
      </c>
      <c r="B13" s="66">
        <v>185.98</v>
      </c>
      <c r="C13" s="66">
        <v>189.85</v>
      </c>
      <c r="D13" s="66">
        <v>223.18</v>
      </c>
      <c r="E13" s="66">
        <v>252.03</v>
      </c>
      <c r="F13" s="66">
        <v>252.11</v>
      </c>
      <c r="G13" s="66">
        <v>341.04</v>
      </c>
      <c r="H13" s="67">
        <v>417.05</v>
      </c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</row>
    <row r="14" spans="1:28" ht="12.75" customHeight="1">
      <c r="A14" s="68">
        <v>1.5</v>
      </c>
      <c r="B14" s="69">
        <v>219.6</v>
      </c>
      <c r="C14" s="69">
        <v>219.6</v>
      </c>
      <c r="D14" s="69">
        <v>260.60000000000002</v>
      </c>
      <c r="E14" s="69">
        <v>284.05</v>
      </c>
      <c r="F14" s="69">
        <v>284.13</v>
      </c>
      <c r="G14" s="69">
        <v>396.06</v>
      </c>
      <c r="H14" s="70">
        <v>500.96</v>
      </c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</row>
    <row r="15" spans="1:28" ht="12.75" customHeight="1">
      <c r="A15" s="65">
        <v>2</v>
      </c>
      <c r="B15" s="66">
        <v>253.22</v>
      </c>
      <c r="C15" s="66">
        <v>249.34</v>
      </c>
      <c r="D15" s="66">
        <v>298.01</v>
      </c>
      <c r="E15" s="66">
        <v>316.07</v>
      </c>
      <c r="F15" s="66">
        <v>316.14999999999998</v>
      </c>
      <c r="G15" s="66">
        <v>451.08</v>
      </c>
      <c r="H15" s="67">
        <v>584.87</v>
      </c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</row>
    <row r="16" spans="1:28" ht="12.75" customHeight="1">
      <c r="A16" s="68">
        <v>2.5</v>
      </c>
      <c r="B16" s="69">
        <v>287.08</v>
      </c>
      <c r="C16" s="69">
        <v>279.02999999999997</v>
      </c>
      <c r="D16" s="69">
        <v>337.27</v>
      </c>
      <c r="E16" s="69">
        <v>361.62</v>
      </c>
      <c r="F16" s="69">
        <v>367.03</v>
      </c>
      <c r="G16" s="69">
        <v>515.02</v>
      </c>
      <c r="H16" s="70">
        <v>687.96</v>
      </c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</row>
    <row r="17" spans="1:28" ht="12.75" customHeight="1">
      <c r="A17" s="121" t="s">
        <v>8</v>
      </c>
      <c r="B17" s="122" t="s">
        <v>12</v>
      </c>
      <c r="C17" s="123"/>
      <c r="D17" s="123"/>
      <c r="E17" s="123"/>
      <c r="F17" s="123"/>
      <c r="G17" s="123"/>
      <c r="H17" s="124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</row>
    <row r="18" spans="1:28" ht="12.75" customHeight="1">
      <c r="A18" s="114"/>
      <c r="B18" s="118"/>
      <c r="C18" s="119"/>
      <c r="D18" s="119"/>
      <c r="E18" s="119"/>
      <c r="F18" s="119"/>
      <c r="G18" s="119"/>
      <c r="H18" s="120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</row>
    <row r="19" spans="1:28" ht="12.75" customHeight="1">
      <c r="A19" s="58" t="s">
        <v>504</v>
      </c>
      <c r="B19" s="59" t="s">
        <v>505</v>
      </c>
      <c r="C19" s="59" t="s">
        <v>506</v>
      </c>
      <c r="D19" s="59" t="s">
        <v>507</v>
      </c>
      <c r="E19" s="59" t="s">
        <v>508</v>
      </c>
      <c r="F19" s="59" t="s">
        <v>509</v>
      </c>
      <c r="G19" s="59" t="s">
        <v>510</v>
      </c>
      <c r="H19" s="60" t="s">
        <v>511</v>
      </c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</row>
    <row r="20" spans="1:28" ht="12.75" customHeight="1">
      <c r="A20" s="71">
        <v>0.5</v>
      </c>
      <c r="B20" s="72">
        <v>168.84</v>
      </c>
      <c r="C20" s="73">
        <v>175.95</v>
      </c>
      <c r="D20" s="73">
        <v>207.71</v>
      </c>
      <c r="E20" s="73">
        <v>230.01</v>
      </c>
      <c r="F20" s="73">
        <v>235.42</v>
      </c>
      <c r="G20" s="73">
        <v>334.95</v>
      </c>
      <c r="H20" s="74">
        <v>424.08</v>
      </c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</row>
    <row r="21" spans="1:28" ht="12.75" customHeight="1">
      <c r="A21" s="65">
        <v>1</v>
      </c>
      <c r="B21" s="75">
        <v>198.4</v>
      </c>
      <c r="C21" s="66">
        <v>201.72</v>
      </c>
      <c r="D21" s="66">
        <v>240.1</v>
      </c>
      <c r="E21" s="66">
        <v>262.91000000000003</v>
      </c>
      <c r="F21" s="66">
        <v>268.32</v>
      </c>
      <c r="G21" s="66">
        <v>379.97</v>
      </c>
      <c r="H21" s="67">
        <v>490.05</v>
      </c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</row>
    <row r="22" spans="1:28" ht="12.75" customHeight="1">
      <c r="A22" s="71">
        <v>1.5</v>
      </c>
      <c r="B22" s="72">
        <v>227.96</v>
      </c>
      <c r="C22" s="73">
        <v>227.49</v>
      </c>
      <c r="D22" s="73">
        <v>272.49</v>
      </c>
      <c r="E22" s="73">
        <v>295.82</v>
      </c>
      <c r="F22" s="73">
        <v>301.23</v>
      </c>
      <c r="G22" s="73">
        <v>424.99</v>
      </c>
      <c r="H22" s="74">
        <v>556.02</v>
      </c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</row>
    <row r="23" spans="1:28" ht="12.75" customHeight="1">
      <c r="A23" s="65">
        <v>2</v>
      </c>
      <c r="B23" s="75">
        <v>257.52</v>
      </c>
      <c r="C23" s="66">
        <v>253.26</v>
      </c>
      <c r="D23" s="66">
        <v>304.88</v>
      </c>
      <c r="E23" s="66">
        <v>328.72</v>
      </c>
      <c r="F23" s="66">
        <v>334.13</v>
      </c>
      <c r="G23" s="66">
        <v>470</v>
      </c>
      <c r="H23" s="67">
        <v>621.99</v>
      </c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</row>
    <row r="24" spans="1:28" ht="12.75" customHeight="1">
      <c r="A24" s="71">
        <v>2.5</v>
      </c>
      <c r="B24" s="72">
        <v>287.08</v>
      </c>
      <c r="C24" s="73">
        <v>279.02999999999997</v>
      </c>
      <c r="D24" s="73">
        <v>337.27</v>
      </c>
      <c r="E24" s="73">
        <v>361.62</v>
      </c>
      <c r="F24" s="73">
        <v>367.03</v>
      </c>
      <c r="G24" s="73">
        <v>515.02</v>
      </c>
      <c r="H24" s="74">
        <v>687.96</v>
      </c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</row>
    <row r="25" spans="1:28" ht="12.75" customHeight="1">
      <c r="A25" s="65">
        <v>3</v>
      </c>
      <c r="B25" s="75">
        <v>316.75</v>
      </c>
      <c r="C25" s="66">
        <v>309.58999999999997</v>
      </c>
      <c r="D25" s="66">
        <v>369.66</v>
      </c>
      <c r="E25" s="66">
        <v>394.5</v>
      </c>
      <c r="F25" s="66">
        <v>399.91</v>
      </c>
      <c r="G25" s="66">
        <v>560.04</v>
      </c>
      <c r="H25" s="67">
        <v>753.93</v>
      </c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</row>
    <row r="26" spans="1:28" ht="12.75" customHeight="1">
      <c r="A26" s="71">
        <v>3.5</v>
      </c>
      <c r="B26" s="72">
        <v>346.41</v>
      </c>
      <c r="C26" s="73">
        <v>340.16</v>
      </c>
      <c r="D26" s="73">
        <v>402.05</v>
      </c>
      <c r="E26" s="73">
        <v>427.38</v>
      </c>
      <c r="F26" s="73">
        <v>432.8</v>
      </c>
      <c r="G26" s="73">
        <v>605.05999999999995</v>
      </c>
      <c r="H26" s="74">
        <v>819.9</v>
      </c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</row>
    <row r="27" spans="1:28" ht="12.75" customHeight="1">
      <c r="A27" s="65">
        <v>4</v>
      </c>
      <c r="B27" s="75">
        <v>376.07</v>
      </c>
      <c r="C27" s="66">
        <v>370.72</v>
      </c>
      <c r="D27" s="66">
        <v>434.44</v>
      </c>
      <c r="E27" s="66">
        <v>460.27</v>
      </c>
      <c r="F27" s="66">
        <v>465.68</v>
      </c>
      <c r="G27" s="66">
        <v>650.08000000000004</v>
      </c>
      <c r="H27" s="67">
        <v>885.87</v>
      </c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</row>
    <row r="28" spans="1:28" ht="12.75" customHeight="1">
      <c r="A28" s="71">
        <v>4.5</v>
      </c>
      <c r="B28" s="72">
        <v>405.74</v>
      </c>
      <c r="C28" s="73">
        <v>401.29</v>
      </c>
      <c r="D28" s="73">
        <v>466.83</v>
      </c>
      <c r="E28" s="73">
        <v>493.15</v>
      </c>
      <c r="F28" s="73">
        <v>498.56</v>
      </c>
      <c r="G28" s="73">
        <v>695.09</v>
      </c>
      <c r="H28" s="74">
        <v>951.84</v>
      </c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</row>
    <row r="29" spans="1:28" ht="12.75" customHeight="1">
      <c r="A29" s="65">
        <v>5</v>
      </c>
      <c r="B29" s="75">
        <v>435.4</v>
      </c>
      <c r="C29" s="66">
        <v>431.85</v>
      </c>
      <c r="D29" s="66">
        <v>499.22</v>
      </c>
      <c r="E29" s="66">
        <v>526.03</v>
      </c>
      <c r="F29" s="66">
        <v>531.44000000000005</v>
      </c>
      <c r="G29" s="66">
        <v>740.11</v>
      </c>
      <c r="H29" s="67">
        <v>1017.8</v>
      </c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</row>
    <row r="30" spans="1:28" ht="12.75" customHeight="1">
      <c r="A30" s="71">
        <v>5.5</v>
      </c>
      <c r="B30" s="72">
        <v>457.17</v>
      </c>
      <c r="C30" s="73">
        <v>457.31</v>
      </c>
      <c r="D30" s="73">
        <v>531.61</v>
      </c>
      <c r="E30" s="73">
        <v>558.91</v>
      </c>
      <c r="F30" s="73">
        <v>564.32000000000005</v>
      </c>
      <c r="G30" s="73">
        <v>785.13</v>
      </c>
      <c r="H30" s="74">
        <v>1083.77</v>
      </c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</row>
    <row r="31" spans="1:28" ht="12.75" customHeight="1">
      <c r="A31" s="65">
        <v>6</v>
      </c>
      <c r="B31" s="75">
        <v>478.94</v>
      </c>
      <c r="C31" s="66">
        <v>482.78</v>
      </c>
      <c r="D31" s="66">
        <v>564</v>
      </c>
      <c r="E31" s="66">
        <v>591.79</v>
      </c>
      <c r="F31" s="66">
        <v>597.21</v>
      </c>
      <c r="G31" s="66">
        <v>830.15</v>
      </c>
      <c r="H31" s="67">
        <v>1149.74</v>
      </c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</row>
    <row r="32" spans="1:28" ht="12.75" customHeight="1">
      <c r="A32" s="71">
        <v>6.5</v>
      </c>
      <c r="B32" s="72">
        <v>500.71</v>
      </c>
      <c r="C32" s="73">
        <v>508.24</v>
      </c>
      <c r="D32" s="73">
        <v>596.39</v>
      </c>
      <c r="E32" s="73">
        <v>624.67999999999995</v>
      </c>
      <c r="F32" s="73">
        <v>630.09</v>
      </c>
      <c r="G32" s="73">
        <v>875.17</v>
      </c>
      <c r="H32" s="74">
        <v>1215.71</v>
      </c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</row>
    <row r="33" spans="1:28" ht="12.75" customHeight="1">
      <c r="A33" s="65">
        <v>7</v>
      </c>
      <c r="B33" s="75">
        <v>522.48</v>
      </c>
      <c r="C33" s="66">
        <v>533.70000000000005</v>
      </c>
      <c r="D33" s="66">
        <v>628.78</v>
      </c>
      <c r="E33" s="66">
        <v>657.56</v>
      </c>
      <c r="F33" s="66">
        <v>662.97</v>
      </c>
      <c r="G33" s="66">
        <v>920.18</v>
      </c>
      <c r="H33" s="67">
        <v>1281.68</v>
      </c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</row>
    <row r="34" spans="1:28" ht="12.75" customHeight="1">
      <c r="A34" s="71">
        <v>7.5</v>
      </c>
      <c r="B34" s="72">
        <v>544.25</v>
      </c>
      <c r="C34" s="73">
        <v>559.16</v>
      </c>
      <c r="D34" s="73">
        <v>661.17</v>
      </c>
      <c r="E34" s="73">
        <v>690.44</v>
      </c>
      <c r="F34" s="73">
        <v>695.85</v>
      </c>
      <c r="G34" s="73">
        <v>965.2</v>
      </c>
      <c r="H34" s="74">
        <v>1347.65</v>
      </c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</row>
    <row r="35" spans="1:28" ht="12.75" customHeight="1">
      <c r="A35" s="65">
        <v>8</v>
      </c>
      <c r="B35" s="75">
        <v>566.03</v>
      </c>
      <c r="C35" s="66">
        <v>584.62</v>
      </c>
      <c r="D35" s="66">
        <v>693.56</v>
      </c>
      <c r="E35" s="66">
        <v>723.32</v>
      </c>
      <c r="F35" s="66">
        <v>728.73</v>
      </c>
      <c r="G35" s="66">
        <v>1010.22</v>
      </c>
      <c r="H35" s="67">
        <v>1413.62</v>
      </c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</row>
    <row r="36" spans="1:28" ht="12.75" customHeight="1">
      <c r="A36" s="71">
        <v>8.5</v>
      </c>
      <c r="B36" s="72">
        <v>587.79999999999995</v>
      </c>
      <c r="C36" s="73">
        <v>610.08000000000004</v>
      </c>
      <c r="D36" s="73">
        <v>725.95</v>
      </c>
      <c r="E36" s="73">
        <v>756.2</v>
      </c>
      <c r="F36" s="73">
        <v>761.62</v>
      </c>
      <c r="G36" s="73">
        <v>1055.24</v>
      </c>
      <c r="H36" s="74">
        <v>1479.59</v>
      </c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</row>
    <row r="37" spans="1:28" ht="12.75" customHeight="1">
      <c r="A37" s="65">
        <v>9</v>
      </c>
      <c r="B37" s="75">
        <v>609.57000000000005</v>
      </c>
      <c r="C37" s="66">
        <v>635.54</v>
      </c>
      <c r="D37" s="66">
        <v>758.34</v>
      </c>
      <c r="E37" s="66">
        <v>789.09</v>
      </c>
      <c r="F37" s="66">
        <v>794.5</v>
      </c>
      <c r="G37" s="66">
        <v>1100.26</v>
      </c>
      <c r="H37" s="67">
        <v>1545.56</v>
      </c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</row>
    <row r="38" spans="1:28" ht="12.75" customHeight="1">
      <c r="A38" s="71">
        <v>9.5</v>
      </c>
      <c r="B38" s="72">
        <v>631.34</v>
      </c>
      <c r="C38" s="73">
        <v>661</v>
      </c>
      <c r="D38" s="73">
        <v>790.73</v>
      </c>
      <c r="E38" s="73">
        <v>821.97</v>
      </c>
      <c r="F38" s="73">
        <v>827.38</v>
      </c>
      <c r="G38" s="73">
        <v>1145.27</v>
      </c>
      <c r="H38" s="74">
        <v>1611.53</v>
      </c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</row>
    <row r="39" spans="1:28" ht="12.75" customHeight="1">
      <c r="A39" s="65">
        <v>10</v>
      </c>
      <c r="B39" s="75">
        <v>653.11</v>
      </c>
      <c r="C39" s="66">
        <v>686.46</v>
      </c>
      <c r="D39" s="66">
        <v>823.12</v>
      </c>
      <c r="E39" s="66">
        <v>854.85</v>
      </c>
      <c r="F39" s="66">
        <v>860.26</v>
      </c>
      <c r="G39" s="66">
        <v>1190.29</v>
      </c>
      <c r="H39" s="67">
        <v>1677.49</v>
      </c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</row>
    <row r="40" spans="1:28" ht="12.75" customHeight="1">
      <c r="A40" s="71">
        <v>10.5</v>
      </c>
      <c r="B40" s="72">
        <v>670.04</v>
      </c>
      <c r="C40" s="73">
        <v>706.35</v>
      </c>
      <c r="D40" s="73">
        <v>855.06</v>
      </c>
      <c r="E40" s="73">
        <v>885.87</v>
      </c>
      <c r="F40" s="73">
        <v>891.28</v>
      </c>
      <c r="G40" s="73">
        <v>1229.06</v>
      </c>
      <c r="H40" s="74">
        <v>1740.86</v>
      </c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</row>
    <row r="41" spans="1:28" ht="12.75" customHeight="1">
      <c r="A41" s="65">
        <v>11</v>
      </c>
      <c r="B41" s="75">
        <v>686.98</v>
      </c>
      <c r="C41" s="66">
        <v>726.23</v>
      </c>
      <c r="D41" s="66">
        <v>886.99</v>
      </c>
      <c r="E41" s="66">
        <v>916.88</v>
      </c>
      <c r="F41" s="66">
        <v>922.3</v>
      </c>
      <c r="G41" s="66">
        <v>1267.82</v>
      </c>
      <c r="H41" s="67">
        <v>1804.23</v>
      </c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</row>
    <row r="42" spans="1:28" ht="12.75" customHeight="1">
      <c r="A42" s="71">
        <v>11.5</v>
      </c>
      <c r="B42" s="72">
        <v>703.91</v>
      </c>
      <c r="C42" s="73">
        <v>746.12</v>
      </c>
      <c r="D42" s="73">
        <v>918.93</v>
      </c>
      <c r="E42" s="73">
        <v>947.9</v>
      </c>
      <c r="F42" s="73">
        <v>953.31</v>
      </c>
      <c r="G42" s="73">
        <v>1306.5899999999999</v>
      </c>
      <c r="H42" s="74">
        <v>1867.59</v>
      </c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</row>
    <row r="43" spans="1:28" ht="12.75" customHeight="1">
      <c r="A43" s="65">
        <v>12</v>
      </c>
      <c r="B43" s="75">
        <v>720.84</v>
      </c>
      <c r="C43" s="66">
        <v>766</v>
      </c>
      <c r="D43" s="66">
        <v>950.87</v>
      </c>
      <c r="E43" s="66">
        <v>978.92</v>
      </c>
      <c r="F43" s="66">
        <v>984.33</v>
      </c>
      <c r="G43" s="66">
        <v>1345.35</v>
      </c>
      <c r="H43" s="67">
        <v>1930.96</v>
      </c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</row>
    <row r="44" spans="1:28" ht="12.75" customHeight="1">
      <c r="A44" s="71">
        <v>12.5</v>
      </c>
      <c r="B44" s="72">
        <v>737.77</v>
      </c>
      <c r="C44" s="73">
        <v>785.89</v>
      </c>
      <c r="D44" s="73">
        <v>982.81</v>
      </c>
      <c r="E44" s="73">
        <v>1009.93</v>
      </c>
      <c r="F44" s="73">
        <v>1015.34</v>
      </c>
      <c r="G44" s="73">
        <v>1384.12</v>
      </c>
      <c r="H44" s="74">
        <v>1994.32</v>
      </c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</row>
    <row r="45" spans="1:28" ht="12.75" customHeight="1">
      <c r="A45" s="65">
        <v>13</v>
      </c>
      <c r="B45" s="75">
        <v>754.71</v>
      </c>
      <c r="C45" s="66">
        <v>805.77</v>
      </c>
      <c r="D45" s="66">
        <v>1014.75</v>
      </c>
      <c r="E45" s="66">
        <v>1040.95</v>
      </c>
      <c r="F45" s="66">
        <v>1046.3599999999999</v>
      </c>
      <c r="G45" s="66">
        <v>1422.88</v>
      </c>
      <c r="H45" s="67">
        <v>2057.69</v>
      </c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</row>
    <row r="46" spans="1:28" ht="12.75" customHeight="1">
      <c r="A46" s="71">
        <v>13.5</v>
      </c>
      <c r="B46" s="72">
        <v>771.64</v>
      </c>
      <c r="C46" s="73">
        <v>825.66</v>
      </c>
      <c r="D46" s="73">
        <v>1046.69</v>
      </c>
      <c r="E46" s="73">
        <v>1071.97</v>
      </c>
      <c r="F46" s="73">
        <v>1077.3800000000001</v>
      </c>
      <c r="G46" s="73">
        <v>1461.65</v>
      </c>
      <c r="H46" s="74">
        <v>2121.0500000000002</v>
      </c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</row>
    <row r="47" spans="1:28" ht="12.75" customHeight="1">
      <c r="A47" s="65">
        <v>14</v>
      </c>
      <c r="B47" s="75">
        <v>788.57</v>
      </c>
      <c r="C47" s="66">
        <v>845.54</v>
      </c>
      <c r="D47" s="66">
        <v>1078.6300000000001</v>
      </c>
      <c r="E47" s="66">
        <v>1102.98</v>
      </c>
      <c r="F47" s="66">
        <v>1108.3900000000001</v>
      </c>
      <c r="G47" s="66">
        <v>1500.42</v>
      </c>
      <c r="H47" s="67">
        <v>2184.42</v>
      </c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</row>
    <row r="48" spans="1:28" ht="12.75" customHeight="1">
      <c r="A48" s="71">
        <v>14.5</v>
      </c>
      <c r="B48" s="72">
        <v>805.51</v>
      </c>
      <c r="C48" s="73">
        <v>865.43</v>
      </c>
      <c r="D48" s="73">
        <v>1110.57</v>
      </c>
      <c r="E48" s="73">
        <v>1134</v>
      </c>
      <c r="F48" s="73">
        <v>1139.4100000000001</v>
      </c>
      <c r="G48" s="73">
        <v>1539.18</v>
      </c>
      <c r="H48" s="74">
        <v>2247.7800000000002</v>
      </c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</row>
    <row r="49" spans="1:28" ht="12.75" customHeight="1">
      <c r="A49" s="65">
        <v>15</v>
      </c>
      <c r="B49" s="75">
        <v>822.44</v>
      </c>
      <c r="C49" s="66">
        <v>885.31</v>
      </c>
      <c r="D49" s="66">
        <v>1142.51</v>
      </c>
      <c r="E49" s="66">
        <v>1165.02</v>
      </c>
      <c r="F49" s="66">
        <v>1170.43</v>
      </c>
      <c r="G49" s="66">
        <v>1577.95</v>
      </c>
      <c r="H49" s="67">
        <v>2311.15</v>
      </c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28" ht="12.75" customHeight="1">
      <c r="A50" s="71">
        <v>15.5</v>
      </c>
      <c r="B50" s="72">
        <v>839.37</v>
      </c>
      <c r="C50" s="73">
        <v>905.2</v>
      </c>
      <c r="D50" s="73">
        <v>1174.45</v>
      </c>
      <c r="E50" s="73">
        <v>1196.03</v>
      </c>
      <c r="F50" s="73">
        <v>1201.44</v>
      </c>
      <c r="G50" s="73">
        <v>1616.71</v>
      </c>
      <c r="H50" s="74">
        <v>2374.52</v>
      </c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</row>
    <row r="51" spans="1:28" ht="12.75" customHeight="1">
      <c r="A51" s="65">
        <v>16</v>
      </c>
      <c r="B51" s="75">
        <v>856.31</v>
      </c>
      <c r="C51" s="66">
        <v>925.08</v>
      </c>
      <c r="D51" s="66">
        <v>1206.3800000000001</v>
      </c>
      <c r="E51" s="66">
        <v>1227.05</v>
      </c>
      <c r="F51" s="66">
        <v>1232.46</v>
      </c>
      <c r="G51" s="66">
        <v>1655.48</v>
      </c>
      <c r="H51" s="67">
        <v>2437.88</v>
      </c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</row>
    <row r="52" spans="1:28" ht="12.75" customHeight="1">
      <c r="A52" s="71">
        <v>16.5</v>
      </c>
      <c r="B52" s="72">
        <v>873.24</v>
      </c>
      <c r="C52" s="73">
        <v>944.97</v>
      </c>
      <c r="D52" s="73">
        <v>1238.32</v>
      </c>
      <c r="E52" s="73">
        <v>1258.06</v>
      </c>
      <c r="F52" s="73">
        <v>1263.48</v>
      </c>
      <c r="G52" s="73">
        <v>1694.24</v>
      </c>
      <c r="H52" s="74">
        <v>2501.25</v>
      </c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</row>
    <row r="53" spans="1:28" ht="12.75" customHeight="1">
      <c r="A53" s="65">
        <v>17</v>
      </c>
      <c r="B53" s="75">
        <v>890.17</v>
      </c>
      <c r="C53" s="66">
        <v>964.85</v>
      </c>
      <c r="D53" s="66">
        <v>1270.26</v>
      </c>
      <c r="E53" s="66">
        <v>1289.08</v>
      </c>
      <c r="F53" s="66">
        <v>1294.49</v>
      </c>
      <c r="G53" s="66">
        <v>1733.01</v>
      </c>
      <c r="H53" s="67">
        <v>2564.61</v>
      </c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</row>
    <row r="54" spans="1:28" ht="12.75" customHeight="1">
      <c r="A54" s="71">
        <v>17.5</v>
      </c>
      <c r="B54" s="72">
        <v>907.1</v>
      </c>
      <c r="C54" s="73">
        <v>984.74</v>
      </c>
      <c r="D54" s="73">
        <v>1302.2</v>
      </c>
      <c r="E54" s="73">
        <v>1320.1</v>
      </c>
      <c r="F54" s="73">
        <v>1325.51</v>
      </c>
      <c r="G54" s="73">
        <v>1771.77</v>
      </c>
      <c r="H54" s="74">
        <v>2627.98</v>
      </c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</row>
    <row r="55" spans="1:28" ht="12.75" customHeight="1">
      <c r="A55" s="65">
        <v>18</v>
      </c>
      <c r="B55" s="75">
        <v>924.04</v>
      </c>
      <c r="C55" s="66">
        <v>1004.62</v>
      </c>
      <c r="D55" s="66">
        <v>1334.14</v>
      </c>
      <c r="E55" s="66">
        <v>1351.11</v>
      </c>
      <c r="F55" s="66">
        <v>1356.53</v>
      </c>
      <c r="G55" s="66">
        <v>1810.54</v>
      </c>
      <c r="H55" s="67">
        <v>2691.34</v>
      </c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</row>
    <row r="56" spans="1:28" ht="12.75" customHeight="1">
      <c r="A56" s="71">
        <v>18.5</v>
      </c>
      <c r="B56" s="72">
        <v>940.97</v>
      </c>
      <c r="C56" s="73">
        <v>1024.51</v>
      </c>
      <c r="D56" s="73">
        <v>1366.08</v>
      </c>
      <c r="E56" s="73">
        <v>1382.13</v>
      </c>
      <c r="F56" s="73">
        <v>1387.54</v>
      </c>
      <c r="G56" s="73">
        <v>1849.31</v>
      </c>
      <c r="H56" s="74">
        <v>2754.71</v>
      </c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</row>
    <row r="57" spans="1:28" ht="12.75" customHeight="1">
      <c r="A57" s="65">
        <v>19</v>
      </c>
      <c r="B57" s="75">
        <v>957.9</v>
      </c>
      <c r="C57" s="66">
        <v>1044.3900000000001</v>
      </c>
      <c r="D57" s="66">
        <v>1398.02</v>
      </c>
      <c r="E57" s="66">
        <v>1413.15</v>
      </c>
      <c r="F57" s="66">
        <v>1418.56</v>
      </c>
      <c r="G57" s="66">
        <v>1888.07</v>
      </c>
      <c r="H57" s="67">
        <v>2818.07</v>
      </c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</row>
    <row r="58" spans="1:28" ht="12.75" customHeight="1">
      <c r="A58" s="71">
        <v>19.5</v>
      </c>
      <c r="B58" s="72">
        <v>974.84</v>
      </c>
      <c r="C58" s="73">
        <v>1064.28</v>
      </c>
      <c r="D58" s="73">
        <v>1429.96</v>
      </c>
      <c r="E58" s="73">
        <v>1444.16</v>
      </c>
      <c r="F58" s="73">
        <v>1449.58</v>
      </c>
      <c r="G58" s="73">
        <v>1926.84</v>
      </c>
      <c r="H58" s="74">
        <v>2881.44</v>
      </c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</row>
    <row r="59" spans="1:28" ht="12.75" customHeight="1">
      <c r="A59" s="65">
        <v>20</v>
      </c>
      <c r="B59" s="75">
        <v>991.77</v>
      </c>
      <c r="C59" s="66">
        <v>1084.1600000000001</v>
      </c>
      <c r="D59" s="66">
        <v>1461.9</v>
      </c>
      <c r="E59" s="66">
        <v>1475.18</v>
      </c>
      <c r="F59" s="66">
        <v>1480.59</v>
      </c>
      <c r="G59" s="66">
        <v>1965.6</v>
      </c>
      <c r="H59" s="67">
        <v>2944.8</v>
      </c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</row>
    <row r="60" spans="1:28" ht="12.75" customHeight="1">
      <c r="A60" s="71">
        <v>20.5</v>
      </c>
      <c r="B60" s="72">
        <v>1010.32</v>
      </c>
      <c r="C60" s="73">
        <v>1106.1400000000001</v>
      </c>
      <c r="D60" s="73">
        <v>1486.27</v>
      </c>
      <c r="E60" s="73">
        <v>1506.2</v>
      </c>
      <c r="F60" s="73">
        <v>1511.61</v>
      </c>
      <c r="G60" s="73">
        <v>2003.1</v>
      </c>
      <c r="H60" s="74">
        <v>3003.84</v>
      </c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</row>
    <row r="61" spans="1:28" ht="12.75" customHeight="1">
      <c r="A61" s="65">
        <v>21</v>
      </c>
      <c r="B61" s="75">
        <v>1028.8699999999999</v>
      </c>
      <c r="C61" s="66">
        <v>1128.1199999999999</v>
      </c>
      <c r="D61" s="66">
        <v>1510.65</v>
      </c>
      <c r="E61" s="66">
        <v>1537.21</v>
      </c>
      <c r="F61" s="66">
        <v>1542.63</v>
      </c>
      <c r="G61" s="66">
        <v>2040.59</v>
      </c>
      <c r="H61" s="67">
        <v>3062.88</v>
      </c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</row>
    <row r="62" spans="1:28" ht="12.75" customHeight="1">
      <c r="A62" s="71">
        <v>21.5</v>
      </c>
      <c r="B62" s="72">
        <v>1047.43</v>
      </c>
      <c r="C62" s="73">
        <v>1150.0899999999999</v>
      </c>
      <c r="D62" s="73">
        <v>1535.02</v>
      </c>
      <c r="E62" s="73">
        <v>1568.23</v>
      </c>
      <c r="F62" s="73">
        <v>1573.64</v>
      </c>
      <c r="G62" s="73">
        <v>2078.09</v>
      </c>
      <c r="H62" s="74">
        <v>3121.92</v>
      </c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28" ht="12.75" customHeight="1">
      <c r="A63" s="65">
        <v>22</v>
      </c>
      <c r="B63" s="75">
        <v>1065.98</v>
      </c>
      <c r="C63" s="66">
        <v>1172.07</v>
      </c>
      <c r="D63" s="66">
        <v>1559.39</v>
      </c>
      <c r="E63" s="66">
        <v>1599.25</v>
      </c>
      <c r="F63" s="66">
        <v>1604.66</v>
      </c>
      <c r="G63" s="66">
        <v>2115.58</v>
      </c>
      <c r="H63" s="67">
        <v>3180.96</v>
      </c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</row>
    <row r="64" spans="1:28" ht="12.75" customHeight="1">
      <c r="A64" s="71">
        <v>22.5</v>
      </c>
      <c r="B64" s="72">
        <v>1084.53</v>
      </c>
      <c r="C64" s="73">
        <v>1194.04</v>
      </c>
      <c r="D64" s="73">
        <v>1583.77</v>
      </c>
      <c r="E64" s="73">
        <v>1630.26</v>
      </c>
      <c r="F64" s="73">
        <v>1635.67</v>
      </c>
      <c r="G64" s="73">
        <v>2153.0700000000002</v>
      </c>
      <c r="H64" s="74">
        <v>3240</v>
      </c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</row>
    <row r="65" spans="1:28" ht="12.75" customHeight="1">
      <c r="A65" s="65">
        <v>23</v>
      </c>
      <c r="B65" s="75">
        <v>1103.08</v>
      </c>
      <c r="C65" s="66">
        <v>1216.02</v>
      </c>
      <c r="D65" s="66">
        <v>1608.14</v>
      </c>
      <c r="E65" s="66">
        <v>1661.28</v>
      </c>
      <c r="F65" s="66">
        <v>1666.69</v>
      </c>
      <c r="G65" s="66">
        <v>2190.5700000000002</v>
      </c>
      <c r="H65" s="67">
        <v>3299.04</v>
      </c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</row>
    <row r="66" spans="1:28" ht="12.75" customHeight="1">
      <c r="A66" s="71">
        <v>23.5</v>
      </c>
      <c r="B66" s="72">
        <v>1121.6400000000001</v>
      </c>
      <c r="C66" s="73">
        <v>1238</v>
      </c>
      <c r="D66" s="73">
        <v>1632.52</v>
      </c>
      <c r="E66" s="73">
        <v>1692.3</v>
      </c>
      <c r="F66" s="73">
        <v>1697.71</v>
      </c>
      <c r="G66" s="73">
        <v>2228.06</v>
      </c>
      <c r="H66" s="74">
        <v>3358.08</v>
      </c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</row>
    <row r="67" spans="1:28" ht="12.75" customHeight="1">
      <c r="A67" s="65">
        <v>24</v>
      </c>
      <c r="B67" s="75">
        <v>1140.19</v>
      </c>
      <c r="C67" s="66">
        <v>1259.97</v>
      </c>
      <c r="D67" s="66">
        <v>1656.89</v>
      </c>
      <c r="E67" s="66">
        <v>1723.31</v>
      </c>
      <c r="F67" s="66">
        <v>1728.72</v>
      </c>
      <c r="G67" s="66">
        <v>2265.56</v>
      </c>
      <c r="H67" s="67">
        <v>3417.12</v>
      </c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</row>
    <row r="68" spans="1:28" ht="12.75" customHeight="1">
      <c r="A68" s="71">
        <v>24.5</v>
      </c>
      <c r="B68" s="72">
        <v>1158.74</v>
      </c>
      <c r="C68" s="73">
        <v>1281.95</v>
      </c>
      <c r="D68" s="73">
        <v>1681.27</v>
      </c>
      <c r="E68" s="73">
        <v>1754.33</v>
      </c>
      <c r="F68" s="73">
        <v>1759.74</v>
      </c>
      <c r="G68" s="73">
        <v>2303.0500000000002</v>
      </c>
      <c r="H68" s="74">
        <v>3476.16</v>
      </c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</row>
    <row r="69" spans="1:28" ht="12.75" customHeight="1">
      <c r="A69" s="65">
        <v>25</v>
      </c>
      <c r="B69" s="75">
        <v>1177.29</v>
      </c>
      <c r="C69" s="66">
        <v>1303.92</v>
      </c>
      <c r="D69" s="66">
        <v>1705.64</v>
      </c>
      <c r="E69" s="66">
        <v>1785.35</v>
      </c>
      <c r="F69" s="66">
        <v>1790.76</v>
      </c>
      <c r="G69" s="66">
        <v>2340.5500000000002</v>
      </c>
      <c r="H69" s="67">
        <v>3535.2</v>
      </c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</row>
    <row r="70" spans="1:28" ht="12.75" customHeight="1">
      <c r="A70" s="71">
        <v>25.5</v>
      </c>
      <c r="B70" s="72">
        <v>1195.8499999999999</v>
      </c>
      <c r="C70" s="73">
        <v>1325.9</v>
      </c>
      <c r="D70" s="73">
        <v>1730.02</v>
      </c>
      <c r="E70" s="73">
        <v>1816.36</v>
      </c>
      <c r="F70" s="73">
        <v>1821.77</v>
      </c>
      <c r="G70" s="73">
        <v>2378.04</v>
      </c>
      <c r="H70" s="74">
        <v>3594.24</v>
      </c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</row>
    <row r="71" spans="1:28" ht="12.75" customHeight="1">
      <c r="A71" s="65">
        <v>26</v>
      </c>
      <c r="B71" s="75">
        <v>1214.4000000000001</v>
      </c>
      <c r="C71" s="66">
        <v>1347.88</v>
      </c>
      <c r="D71" s="66">
        <v>1754.39</v>
      </c>
      <c r="E71" s="66">
        <v>1847.38</v>
      </c>
      <c r="F71" s="66">
        <v>1852.79</v>
      </c>
      <c r="G71" s="66">
        <v>2415.54</v>
      </c>
      <c r="H71" s="67">
        <v>3653.28</v>
      </c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</row>
    <row r="72" spans="1:28" ht="12.75" customHeight="1">
      <c r="A72" s="71">
        <v>26.5</v>
      </c>
      <c r="B72" s="72">
        <v>1232.95</v>
      </c>
      <c r="C72" s="73">
        <v>1369.85</v>
      </c>
      <c r="D72" s="73">
        <v>1778.76</v>
      </c>
      <c r="E72" s="73">
        <v>1878.39</v>
      </c>
      <c r="F72" s="73">
        <v>1883.81</v>
      </c>
      <c r="G72" s="73">
        <v>2453.0300000000002</v>
      </c>
      <c r="H72" s="74">
        <v>3712.32</v>
      </c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</row>
    <row r="73" spans="1:28" ht="12.75" customHeight="1">
      <c r="A73" s="65">
        <v>27</v>
      </c>
      <c r="B73" s="75">
        <v>1251.5</v>
      </c>
      <c r="C73" s="66">
        <v>1391.83</v>
      </c>
      <c r="D73" s="66">
        <v>1803.14</v>
      </c>
      <c r="E73" s="66">
        <v>1909.41</v>
      </c>
      <c r="F73" s="66">
        <v>1914.82</v>
      </c>
      <c r="G73" s="66">
        <v>2490.52</v>
      </c>
      <c r="H73" s="67">
        <v>3771.36</v>
      </c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</row>
    <row r="74" spans="1:28" ht="12.75" customHeight="1">
      <c r="A74" s="71">
        <v>27.5</v>
      </c>
      <c r="B74" s="72">
        <v>1270.06</v>
      </c>
      <c r="C74" s="73">
        <v>1413.8</v>
      </c>
      <c r="D74" s="73">
        <v>1827.51</v>
      </c>
      <c r="E74" s="73">
        <v>1940.43</v>
      </c>
      <c r="F74" s="73">
        <v>1945.84</v>
      </c>
      <c r="G74" s="73">
        <v>2528.02</v>
      </c>
      <c r="H74" s="74">
        <v>3830.4</v>
      </c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</row>
    <row r="75" spans="1:28" ht="12.75" customHeight="1">
      <c r="A75" s="65">
        <v>28</v>
      </c>
      <c r="B75" s="75">
        <v>1288.6099999999999</v>
      </c>
      <c r="C75" s="66">
        <v>1435.78</v>
      </c>
      <c r="D75" s="66">
        <v>1851.89</v>
      </c>
      <c r="E75" s="66">
        <v>1971.44</v>
      </c>
      <c r="F75" s="66">
        <v>1976.86</v>
      </c>
      <c r="G75" s="66">
        <v>2565.5100000000002</v>
      </c>
      <c r="H75" s="67">
        <v>3889.44</v>
      </c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</row>
    <row r="76" spans="1:28" ht="12.75" customHeight="1">
      <c r="A76" s="71">
        <v>28.5</v>
      </c>
      <c r="B76" s="72">
        <v>1307.1600000000001</v>
      </c>
      <c r="C76" s="73">
        <v>1457.76</v>
      </c>
      <c r="D76" s="73">
        <v>1876.26</v>
      </c>
      <c r="E76" s="73">
        <v>2002.46</v>
      </c>
      <c r="F76" s="73">
        <v>2007.87</v>
      </c>
      <c r="G76" s="73">
        <v>2603.0100000000002</v>
      </c>
      <c r="H76" s="74">
        <v>3948.48</v>
      </c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</row>
    <row r="77" spans="1:28" ht="12.75" customHeight="1">
      <c r="A77" s="65">
        <v>29</v>
      </c>
      <c r="B77" s="75">
        <v>1325.71</v>
      </c>
      <c r="C77" s="66">
        <v>1479.73</v>
      </c>
      <c r="D77" s="66">
        <v>1900.64</v>
      </c>
      <c r="E77" s="66">
        <v>2033.48</v>
      </c>
      <c r="F77" s="66">
        <v>2038.89</v>
      </c>
      <c r="G77" s="66">
        <v>2640.5</v>
      </c>
      <c r="H77" s="67">
        <v>4007.52</v>
      </c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</row>
    <row r="78" spans="1:28" ht="12.75" customHeight="1">
      <c r="A78" s="71">
        <v>29.5</v>
      </c>
      <c r="B78" s="72">
        <v>1344.27</v>
      </c>
      <c r="C78" s="73">
        <v>1501.71</v>
      </c>
      <c r="D78" s="73">
        <v>1925.01</v>
      </c>
      <c r="E78" s="73">
        <v>2064.4899999999998</v>
      </c>
      <c r="F78" s="73">
        <v>2069.91</v>
      </c>
      <c r="G78" s="73">
        <v>2678</v>
      </c>
      <c r="H78" s="74">
        <v>4066.56</v>
      </c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</row>
    <row r="79" spans="1:28" ht="12.75" customHeight="1">
      <c r="A79" s="65">
        <v>30</v>
      </c>
      <c r="B79" s="75">
        <v>1362.82</v>
      </c>
      <c r="C79" s="66">
        <v>1523.68</v>
      </c>
      <c r="D79" s="66">
        <v>1949.39</v>
      </c>
      <c r="E79" s="66">
        <v>2095.5100000000002</v>
      </c>
      <c r="F79" s="66">
        <v>2100.92</v>
      </c>
      <c r="G79" s="66">
        <v>2715.49</v>
      </c>
      <c r="H79" s="67">
        <v>4125.6000000000004</v>
      </c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</row>
    <row r="80" spans="1:28" ht="12.75" customHeight="1">
      <c r="A80" s="71">
        <v>30.5</v>
      </c>
      <c r="B80" s="72">
        <v>1381.37</v>
      </c>
      <c r="C80" s="73">
        <v>1545</v>
      </c>
      <c r="D80" s="73">
        <v>1973.17</v>
      </c>
      <c r="E80" s="73">
        <v>2121.73</v>
      </c>
      <c r="F80" s="73">
        <v>2128.04</v>
      </c>
      <c r="G80" s="73">
        <v>2751.78</v>
      </c>
      <c r="H80" s="74">
        <v>4178.66</v>
      </c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</row>
    <row r="81" spans="1:28" ht="12.75" customHeight="1">
      <c r="A81" s="65">
        <v>31</v>
      </c>
      <c r="B81" s="75">
        <v>1399.92</v>
      </c>
      <c r="C81" s="66">
        <v>1566.32</v>
      </c>
      <c r="D81" s="66">
        <v>1996.95</v>
      </c>
      <c r="E81" s="66">
        <v>2147.9499999999998</v>
      </c>
      <c r="F81" s="66">
        <v>2155.17</v>
      </c>
      <c r="G81" s="66">
        <v>2788.06</v>
      </c>
      <c r="H81" s="67">
        <v>4231.71</v>
      </c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</row>
    <row r="82" spans="1:28" ht="12.75" customHeight="1">
      <c r="A82" s="71">
        <v>31.5</v>
      </c>
      <c r="B82" s="72">
        <v>1418.48</v>
      </c>
      <c r="C82" s="73">
        <v>1587.64</v>
      </c>
      <c r="D82" s="73">
        <v>2020.73</v>
      </c>
      <c r="E82" s="73">
        <v>2174.17</v>
      </c>
      <c r="F82" s="73">
        <v>2182.29</v>
      </c>
      <c r="G82" s="73">
        <v>2824.35</v>
      </c>
      <c r="H82" s="74">
        <v>4284.7700000000004</v>
      </c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</row>
    <row r="83" spans="1:28" ht="12.75" customHeight="1">
      <c r="A83" s="65">
        <v>32</v>
      </c>
      <c r="B83" s="75">
        <v>1437.03</v>
      </c>
      <c r="C83" s="66">
        <v>1608.96</v>
      </c>
      <c r="D83" s="66">
        <v>2044.51</v>
      </c>
      <c r="E83" s="66">
        <v>2200.39</v>
      </c>
      <c r="F83" s="66">
        <v>2209.41</v>
      </c>
      <c r="G83" s="66">
        <v>2860.63</v>
      </c>
      <c r="H83" s="67">
        <v>4337.82</v>
      </c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</row>
    <row r="84" spans="1:28" ht="12.75" customHeight="1">
      <c r="A84" s="71">
        <v>32.5</v>
      </c>
      <c r="B84" s="72">
        <v>1455.58</v>
      </c>
      <c r="C84" s="73">
        <v>1630.28</v>
      </c>
      <c r="D84" s="73">
        <v>2068.29</v>
      </c>
      <c r="E84" s="73">
        <v>2226.61</v>
      </c>
      <c r="F84" s="73">
        <v>2236.5300000000002</v>
      </c>
      <c r="G84" s="73">
        <v>2896.92</v>
      </c>
      <c r="H84" s="74">
        <v>4390.87</v>
      </c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</row>
    <row r="85" spans="1:28" ht="12.75" customHeight="1">
      <c r="A85" s="65">
        <v>33</v>
      </c>
      <c r="B85" s="75">
        <v>1474.13</v>
      </c>
      <c r="C85" s="66">
        <v>1651.6</v>
      </c>
      <c r="D85" s="66">
        <v>2092.0700000000002</v>
      </c>
      <c r="E85" s="66">
        <v>2252.83</v>
      </c>
      <c r="F85" s="66">
        <v>2263.65</v>
      </c>
      <c r="G85" s="66">
        <v>2933.2</v>
      </c>
      <c r="H85" s="67">
        <v>4443.93</v>
      </c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</row>
    <row r="86" spans="1:28" ht="12.75" customHeight="1">
      <c r="A86" s="71">
        <v>33.5</v>
      </c>
      <c r="B86" s="72">
        <v>1492.69</v>
      </c>
      <c r="C86" s="73">
        <v>1672.92</v>
      </c>
      <c r="D86" s="73">
        <v>2115.85</v>
      </c>
      <c r="E86" s="73">
        <v>2279.0500000000002</v>
      </c>
      <c r="F86" s="73">
        <v>2290.77</v>
      </c>
      <c r="G86" s="73">
        <v>2969.49</v>
      </c>
      <c r="H86" s="74">
        <v>4496.9799999999996</v>
      </c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</row>
    <row r="87" spans="1:28" ht="12.75" customHeight="1">
      <c r="A87" s="65">
        <v>34</v>
      </c>
      <c r="B87" s="75">
        <v>1511.24</v>
      </c>
      <c r="C87" s="66">
        <v>1694.24</v>
      </c>
      <c r="D87" s="66">
        <v>2139.63</v>
      </c>
      <c r="E87" s="66">
        <v>2305.27</v>
      </c>
      <c r="F87" s="66">
        <v>2317.89</v>
      </c>
      <c r="G87" s="66">
        <v>3005.77</v>
      </c>
      <c r="H87" s="67">
        <v>4550.04</v>
      </c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</row>
    <row r="88" spans="1:28" ht="12.75" customHeight="1">
      <c r="A88" s="71">
        <v>34.5</v>
      </c>
      <c r="B88" s="72">
        <v>1529.79</v>
      </c>
      <c r="C88" s="73">
        <v>1715.56</v>
      </c>
      <c r="D88" s="73">
        <v>2163.41</v>
      </c>
      <c r="E88" s="73">
        <v>2331.4899999999998</v>
      </c>
      <c r="F88" s="73">
        <v>2345.02</v>
      </c>
      <c r="G88" s="73">
        <v>3042.06</v>
      </c>
      <c r="H88" s="74">
        <v>4603.09</v>
      </c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</row>
    <row r="89" spans="1:28" ht="12.75" customHeight="1">
      <c r="A89" s="65">
        <v>35</v>
      </c>
      <c r="B89" s="75">
        <v>1548.34</v>
      </c>
      <c r="C89" s="66">
        <v>1736.88</v>
      </c>
      <c r="D89" s="66">
        <v>2187.19</v>
      </c>
      <c r="E89" s="66">
        <v>2357.71</v>
      </c>
      <c r="F89" s="66">
        <v>2372.14</v>
      </c>
      <c r="G89" s="66">
        <v>3078.34</v>
      </c>
      <c r="H89" s="67">
        <v>4656.1400000000003</v>
      </c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</row>
    <row r="90" spans="1:28" ht="12.75" customHeight="1">
      <c r="A90" s="71">
        <v>35.5</v>
      </c>
      <c r="B90" s="72">
        <v>1566.9</v>
      </c>
      <c r="C90" s="73">
        <v>1758.2</v>
      </c>
      <c r="D90" s="73">
        <v>2210.9699999999998</v>
      </c>
      <c r="E90" s="73">
        <v>2383.92</v>
      </c>
      <c r="F90" s="73">
        <v>2399.2600000000002</v>
      </c>
      <c r="G90" s="73">
        <v>3114.63</v>
      </c>
      <c r="H90" s="74">
        <v>4709.2</v>
      </c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</row>
    <row r="91" spans="1:28" ht="12.75" customHeight="1">
      <c r="A91" s="65">
        <v>36</v>
      </c>
      <c r="B91" s="75">
        <v>1585.45</v>
      </c>
      <c r="C91" s="66">
        <v>1779.52</v>
      </c>
      <c r="D91" s="66">
        <v>2234.75</v>
      </c>
      <c r="E91" s="66">
        <v>2410.14</v>
      </c>
      <c r="F91" s="66">
        <v>2426.38</v>
      </c>
      <c r="G91" s="66">
        <v>3150.91</v>
      </c>
      <c r="H91" s="67">
        <v>4762.25</v>
      </c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</row>
    <row r="92" spans="1:28" ht="12.75" customHeight="1">
      <c r="A92" s="71">
        <v>36.5</v>
      </c>
      <c r="B92" s="72">
        <v>1604</v>
      </c>
      <c r="C92" s="73">
        <v>1800.84</v>
      </c>
      <c r="D92" s="73">
        <v>2258.5300000000002</v>
      </c>
      <c r="E92" s="73">
        <v>2436.36</v>
      </c>
      <c r="F92" s="73">
        <v>2453.5</v>
      </c>
      <c r="G92" s="73">
        <v>3187.2</v>
      </c>
      <c r="H92" s="74">
        <v>4815.3100000000004</v>
      </c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</row>
    <row r="93" spans="1:28" ht="12.75" customHeight="1">
      <c r="A93" s="65">
        <v>37</v>
      </c>
      <c r="B93" s="75">
        <v>1622.55</v>
      </c>
      <c r="C93" s="66">
        <v>1822.16</v>
      </c>
      <c r="D93" s="66">
        <v>2282.31</v>
      </c>
      <c r="E93" s="66">
        <v>2462.58</v>
      </c>
      <c r="F93" s="66">
        <v>2480.62</v>
      </c>
      <c r="G93" s="66">
        <v>3223.48</v>
      </c>
      <c r="H93" s="67">
        <v>4868.3599999999997</v>
      </c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</row>
    <row r="94" spans="1:28" ht="12.75" customHeight="1">
      <c r="A94" s="71">
        <v>37.5</v>
      </c>
      <c r="B94" s="72">
        <v>1641.11</v>
      </c>
      <c r="C94" s="73">
        <v>1843.48</v>
      </c>
      <c r="D94" s="73">
        <v>2306.09</v>
      </c>
      <c r="E94" s="73">
        <v>2488.8000000000002</v>
      </c>
      <c r="F94" s="73">
        <v>2507.7399999999998</v>
      </c>
      <c r="G94" s="73">
        <v>3259.77</v>
      </c>
      <c r="H94" s="74">
        <v>4921.41</v>
      </c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</row>
    <row r="95" spans="1:28" ht="12.75" customHeight="1">
      <c r="A95" s="65">
        <v>38</v>
      </c>
      <c r="B95" s="75">
        <v>1659.66</v>
      </c>
      <c r="C95" s="66">
        <v>1864.8</v>
      </c>
      <c r="D95" s="66">
        <v>2329.87</v>
      </c>
      <c r="E95" s="66">
        <v>2515.02</v>
      </c>
      <c r="F95" s="66">
        <v>2534.87</v>
      </c>
      <c r="G95" s="66">
        <v>3296.05</v>
      </c>
      <c r="H95" s="67">
        <v>4974.47</v>
      </c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</row>
    <row r="96" spans="1:28" ht="12.75" customHeight="1">
      <c r="A96" s="71">
        <v>38.5</v>
      </c>
      <c r="B96" s="72">
        <v>1678.21</v>
      </c>
      <c r="C96" s="73">
        <v>1886.12</v>
      </c>
      <c r="D96" s="73">
        <v>2353.65</v>
      </c>
      <c r="E96" s="73">
        <v>2541.2399999999998</v>
      </c>
      <c r="F96" s="73">
        <v>2561.9899999999998</v>
      </c>
      <c r="G96" s="73">
        <v>3332.34</v>
      </c>
      <c r="H96" s="74">
        <v>5027.5200000000004</v>
      </c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</row>
    <row r="97" spans="1:28" ht="12.75" customHeight="1">
      <c r="A97" s="65">
        <v>39</v>
      </c>
      <c r="B97" s="75">
        <v>1696.76</v>
      </c>
      <c r="C97" s="66">
        <v>1907.44</v>
      </c>
      <c r="D97" s="66">
        <v>2377.4299999999998</v>
      </c>
      <c r="E97" s="66">
        <v>2567.46</v>
      </c>
      <c r="F97" s="66">
        <v>2589.11</v>
      </c>
      <c r="G97" s="66">
        <v>3368.62</v>
      </c>
      <c r="H97" s="67">
        <v>5080.58</v>
      </c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</row>
    <row r="98" spans="1:28" ht="12.75" customHeight="1">
      <c r="A98" s="71">
        <v>39.5</v>
      </c>
      <c r="B98" s="72">
        <v>1715.32</v>
      </c>
      <c r="C98" s="73">
        <v>1928.76</v>
      </c>
      <c r="D98" s="73">
        <v>2401.21</v>
      </c>
      <c r="E98" s="73">
        <v>2593.6799999999998</v>
      </c>
      <c r="F98" s="73">
        <v>2616.23</v>
      </c>
      <c r="G98" s="73">
        <v>3404.91</v>
      </c>
      <c r="H98" s="74">
        <v>5133.63</v>
      </c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</row>
    <row r="99" spans="1:28" ht="12.75" customHeight="1">
      <c r="A99" s="65">
        <v>40</v>
      </c>
      <c r="B99" s="75">
        <v>1733.87</v>
      </c>
      <c r="C99" s="66">
        <v>1950.08</v>
      </c>
      <c r="D99" s="66">
        <v>2424.9899999999998</v>
      </c>
      <c r="E99" s="66">
        <v>2619.9</v>
      </c>
      <c r="F99" s="66">
        <v>2643.35</v>
      </c>
      <c r="G99" s="66">
        <v>3441.19</v>
      </c>
      <c r="H99" s="67">
        <v>5186.68</v>
      </c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</row>
    <row r="100" spans="1:28" ht="12.75" customHeight="1">
      <c r="A100" s="71">
        <v>40.5</v>
      </c>
      <c r="B100" s="72">
        <v>1752.42</v>
      </c>
      <c r="C100" s="73">
        <v>1971.4</v>
      </c>
      <c r="D100" s="73">
        <v>2448.77</v>
      </c>
      <c r="E100" s="73">
        <v>2646.12</v>
      </c>
      <c r="F100" s="73">
        <v>2670.47</v>
      </c>
      <c r="G100" s="73">
        <v>3477.48</v>
      </c>
      <c r="H100" s="74">
        <v>5239.74</v>
      </c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</row>
    <row r="101" spans="1:28" ht="12.75" customHeight="1">
      <c r="A101" s="65">
        <v>41</v>
      </c>
      <c r="B101" s="75">
        <v>1770.97</v>
      </c>
      <c r="C101" s="66">
        <v>1992.72</v>
      </c>
      <c r="D101" s="66">
        <v>2472.5500000000002</v>
      </c>
      <c r="E101" s="66">
        <v>2672.34</v>
      </c>
      <c r="F101" s="66">
        <v>2697.6</v>
      </c>
      <c r="G101" s="66">
        <v>3513.76</v>
      </c>
      <c r="H101" s="67">
        <v>5292.79</v>
      </c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</row>
    <row r="102" spans="1:28" ht="12.75" customHeight="1">
      <c r="A102" s="71">
        <v>41.5</v>
      </c>
      <c r="B102" s="72">
        <v>1789.53</v>
      </c>
      <c r="C102" s="73">
        <v>2014.04</v>
      </c>
      <c r="D102" s="73">
        <v>2496.33</v>
      </c>
      <c r="E102" s="73">
        <v>2698.56</v>
      </c>
      <c r="F102" s="73">
        <v>2724.72</v>
      </c>
      <c r="G102" s="73">
        <v>3550.05</v>
      </c>
      <c r="H102" s="74">
        <v>5345.85</v>
      </c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</row>
    <row r="103" spans="1:28" ht="12.75" customHeight="1">
      <c r="A103" s="65">
        <v>42</v>
      </c>
      <c r="B103" s="75">
        <v>1808.08</v>
      </c>
      <c r="C103" s="66">
        <v>2035.36</v>
      </c>
      <c r="D103" s="66">
        <v>2520.11</v>
      </c>
      <c r="E103" s="66">
        <v>2724.78</v>
      </c>
      <c r="F103" s="66">
        <v>2751.84</v>
      </c>
      <c r="G103" s="66">
        <v>3586.33</v>
      </c>
      <c r="H103" s="67">
        <v>5398.9</v>
      </c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</row>
    <row r="104" spans="1:28" ht="12.75" customHeight="1">
      <c r="A104" s="71">
        <v>42.5</v>
      </c>
      <c r="B104" s="72">
        <v>1826.63</v>
      </c>
      <c r="C104" s="73">
        <v>2056.6799999999998</v>
      </c>
      <c r="D104" s="73">
        <v>2543.89</v>
      </c>
      <c r="E104" s="73">
        <v>2751</v>
      </c>
      <c r="F104" s="73">
        <v>2778.96</v>
      </c>
      <c r="G104" s="73">
        <v>3622.62</v>
      </c>
      <c r="H104" s="74">
        <v>5451.95</v>
      </c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</row>
    <row r="105" spans="1:28" ht="12.75" customHeight="1">
      <c r="A105" s="65">
        <v>43</v>
      </c>
      <c r="B105" s="75">
        <v>1845.18</v>
      </c>
      <c r="C105" s="66">
        <v>2078</v>
      </c>
      <c r="D105" s="66">
        <v>2567.67</v>
      </c>
      <c r="E105" s="66">
        <v>2777.22</v>
      </c>
      <c r="F105" s="66">
        <v>2806.08</v>
      </c>
      <c r="G105" s="66">
        <v>3658.9</v>
      </c>
      <c r="H105" s="67">
        <v>5505.01</v>
      </c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</row>
    <row r="106" spans="1:28" ht="12.75" customHeight="1">
      <c r="A106" s="71">
        <v>43.5</v>
      </c>
      <c r="B106" s="72">
        <v>1863.74</v>
      </c>
      <c r="C106" s="73">
        <v>2099.3200000000002</v>
      </c>
      <c r="D106" s="73">
        <v>2591.4499999999998</v>
      </c>
      <c r="E106" s="73">
        <v>2803.44</v>
      </c>
      <c r="F106" s="73">
        <v>2833.2</v>
      </c>
      <c r="G106" s="73">
        <v>3695.19</v>
      </c>
      <c r="H106" s="74">
        <v>5558.06</v>
      </c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</row>
    <row r="107" spans="1:28" ht="12.75" customHeight="1">
      <c r="A107" s="65">
        <v>44</v>
      </c>
      <c r="B107" s="75">
        <v>1882.29</v>
      </c>
      <c r="C107" s="66">
        <v>2120.64</v>
      </c>
      <c r="D107" s="66">
        <v>2615.23</v>
      </c>
      <c r="E107" s="66">
        <v>2829.66</v>
      </c>
      <c r="F107" s="66">
        <v>2860.32</v>
      </c>
      <c r="G107" s="66">
        <v>3731.47</v>
      </c>
      <c r="H107" s="67">
        <v>5611.12</v>
      </c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</row>
    <row r="108" spans="1:28" ht="12.75" customHeight="1">
      <c r="A108" s="71">
        <v>44.5</v>
      </c>
      <c r="B108" s="72">
        <v>1900.84</v>
      </c>
      <c r="C108" s="73">
        <v>2141.96</v>
      </c>
      <c r="D108" s="73">
        <v>2639.01</v>
      </c>
      <c r="E108" s="73">
        <v>2855.88</v>
      </c>
      <c r="F108" s="73">
        <v>2887.45</v>
      </c>
      <c r="G108" s="73">
        <v>3767.76</v>
      </c>
      <c r="H108" s="74">
        <v>5664.17</v>
      </c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</row>
    <row r="109" spans="1:28" ht="12.75" customHeight="1">
      <c r="A109" s="65">
        <v>45</v>
      </c>
      <c r="B109" s="75">
        <v>1919.39</v>
      </c>
      <c r="C109" s="66">
        <v>2163.2800000000002</v>
      </c>
      <c r="D109" s="66">
        <v>2662.79</v>
      </c>
      <c r="E109" s="66">
        <v>2882.1</v>
      </c>
      <c r="F109" s="66">
        <v>2914.57</v>
      </c>
      <c r="G109" s="66">
        <v>3804.04</v>
      </c>
      <c r="H109" s="67">
        <v>5717.22</v>
      </c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</row>
    <row r="110" spans="1:28" ht="12.75" customHeight="1">
      <c r="A110" s="71">
        <v>45.5</v>
      </c>
      <c r="B110" s="72">
        <v>1937.95</v>
      </c>
      <c r="C110" s="73">
        <v>2184.6</v>
      </c>
      <c r="D110" s="73">
        <v>2686.57</v>
      </c>
      <c r="E110" s="73">
        <v>2908.31</v>
      </c>
      <c r="F110" s="73">
        <v>2941.69</v>
      </c>
      <c r="G110" s="73">
        <v>3840.33</v>
      </c>
      <c r="H110" s="74">
        <v>5770.28</v>
      </c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</row>
    <row r="111" spans="1:28" ht="12.75" customHeight="1">
      <c r="A111" s="65">
        <v>46</v>
      </c>
      <c r="B111" s="75">
        <v>1956.5</v>
      </c>
      <c r="C111" s="66">
        <v>2205.92</v>
      </c>
      <c r="D111" s="66">
        <v>2710.35</v>
      </c>
      <c r="E111" s="66">
        <v>2934.53</v>
      </c>
      <c r="F111" s="66">
        <v>2968.81</v>
      </c>
      <c r="G111" s="66">
        <v>3876.61</v>
      </c>
      <c r="H111" s="67">
        <v>5823.33</v>
      </c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</row>
    <row r="112" spans="1:28" ht="12.75" customHeight="1">
      <c r="A112" s="71">
        <v>46.5</v>
      </c>
      <c r="B112" s="72">
        <v>1975.05</v>
      </c>
      <c r="C112" s="73">
        <v>2227.2399999999998</v>
      </c>
      <c r="D112" s="73">
        <v>2734.13</v>
      </c>
      <c r="E112" s="73">
        <v>2960.75</v>
      </c>
      <c r="F112" s="73">
        <v>2995.93</v>
      </c>
      <c r="G112" s="73">
        <v>3912.9</v>
      </c>
      <c r="H112" s="74">
        <v>5876.39</v>
      </c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</row>
    <row r="113" spans="1:28" ht="12.75" customHeight="1">
      <c r="A113" s="65">
        <v>47</v>
      </c>
      <c r="B113" s="75">
        <v>1993.6</v>
      </c>
      <c r="C113" s="66">
        <v>2248.56</v>
      </c>
      <c r="D113" s="66">
        <v>2757.91</v>
      </c>
      <c r="E113" s="66">
        <v>2986.97</v>
      </c>
      <c r="F113" s="66">
        <v>3023.05</v>
      </c>
      <c r="G113" s="66">
        <v>3949.18</v>
      </c>
      <c r="H113" s="67">
        <v>5929.44</v>
      </c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</row>
    <row r="114" spans="1:28" ht="12.75" customHeight="1">
      <c r="A114" s="71">
        <v>47.5</v>
      </c>
      <c r="B114" s="72">
        <v>2012.16</v>
      </c>
      <c r="C114" s="73">
        <v>2269.88</v>
      </c>
      <c r="D114" s="73">
        <v>2781.69</v>
      </c>
      <c r="E114" s="73">
        <v>3013.19</v>
      </c>
      <c r="F114" s="73">
        <v>3050.17</v>
      </c>
      <c r="G114" s="73">
        <v>3985.47</v>
      </c>
      <c r="H114" s="74">
        <v>5982.49</v>
      </c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</row>
    <row r="115" spans="1:28" ht="12.75" customHeight="1">
      <c r="A115" s="65">
        <v>48</v>
      </c>
      <c r="B115" s="75">
        <v>2030.71</v>
      </c>
      <c r="C115" s="66">
        <v>2291.1999999999998</v>
      </c>
      <c r="D115" s="66">
        <v>2805.47</v>
      </c>
      <c r="E115" s="66">
        <v>3039.41</v>
      </c>
      <c r="F115" s="66">
        <v>3077.3</v>
      </c>
      <c r="G115" s="66">
        <v>4021.75</v>
      </c>
      <c r="H115" s="67">
        <v>6035.55</v>
      </c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</row>
    <row r="116" spans="1:28" ht="12.75" customHeight="1">
      <c r="A116" s="71">
        <v>48.5</v>
      </c>
      <c r="B116" s="72">
        <v>2049.2600000000002</v>
      </c>
      <c r="C116" s="73">
        <v>2312.52</v>
      </c>
      <c r="D116" s="73">
        <v>2829.25</v>
      </c>
      <c r="E116" s="73">
        <v>3065.63</v>
      </c>
      <c r="F116" s="73">
        <v>3104.42</v>
      </c>
      <c r="G116" s="73">
        <v>4058.04</v>
      </c>
      <c r="H116" s="74">
        <v>6088.6</v>
      </c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</row>
    <row r="117" spans="1:28" ht="12.75" customHeight="1">
      <c r="A117" s="65">
        <v>49</v>
      </c>
      <c r="B117" s="75">
        <v>2067.81</v>
      </c>
      <c r="C117" s="66">
        <v>2333.84</v>
      </c>
      <c r="D117" s="66">
        <v>2853.03</v>
      </c>
      <c r="E117" s="66">
        <v>3091.85</v>
      </c>
      <c r="F117" s="66">
        <v>3131.54</v>
      </c>
      <c r="G117" s="66">
        <v>4094.32</v>
      </c>
      <c r="H117" s="67">
        <v>6141.66</v>
      </c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</row>
    <row r="118" spans="1:28" ht="12.75" customHeight="1">
      <c r="A118" s="71">
        <v>49.5</v>
      </c>
      <c r="B118" s="72">
        <v>2086.37</v>
      </c>
      <c r="C118" s="73">
        <v>2355.16</v>
      </c>
      <c r="D118" s="73">
        <v>2876.81</v>
      </c>
      <c r="E118" s="73">
        <v>3118.07</v>
      </c>
      <c r="F118" s="73">
        <v>3158.66</v>
      </c>
      <c r="G118" s="73">
        <v>4130.6099999999997</v>
      </c>
      <c r="H118" s="74">
        <v>6194.71</v>
      </c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</row>
    <row r="119" spans="1:28" ht="12.75" customHeight="1">
      <c r="A119" s="65">
        <v>50</v>
      </c>
      <c r="B119" s="75">
        <v>2104.92</v>
      </c>
      <c r="C119" s="66">
        <v>2376.48</v>
      </c>
      <c r="D119" s="66">
        <v>2900.59</v>
      </c>
      <c r="E119" s="66">
        <v>3144.29</v>
      </c>
      <c r="F119" s="66">
        <v>3185.78</v>
      </c>
      <c r="G119" s="66">
        <v>4166.8900000000003</v>
      </c>
      <c r="H119" s="67">
        <v>6247.76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</row>
    <row r="120" spans="1:28" ht="12.75" customHeight="1">
      <c r="A120" s="71">
        <v>50.5</v>
      </c>
      <c r="B120" s="72">
        <v>2123.4699999999998</v>
      </c>
      <c r="C120" s="73">
        <v>2397.8000000000002</v>
      </c>
      <c r="D120" s="73">
        <v>2924.37</v>
      </c>
      <c r="E120" s="73">
        <v>3170.51</v>
      </c>
      <c r="F120" s="73">
        <v>3212.9</v>
      </c>
      <c r="G120" s="73">
        <v>4203.18</v>
      </c>
      <c r="H120" s="74">
        <v>6300.82</v>
      </c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</row>
    <row r="121" spans="1:28" ht="12.75" customHeight="1">
      <c r="A121" s="65">
        <v>51</v>
      </c>
      <c r="B121" s="75">
        <v>2142.02</v>
      </c>
      <c r="C121" s="66">
        <v>2419.12</v>
      </c>
      <c r="D121" s="66">
        <v>2948.15</v>
      </c>
      <c r="E121" s="66">
        <v>3196.73</v>
      </c>
      <c r="F121" s="66">
        <v>3240.03</v>
      </c>
      <c r="G121" s="66">
        <v>4239.46</v>
      </c>
      <c r="H121" s="67">
        <v>6353.87</v>
      </c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</row>
    <row r="122" spans="1:28" ht="12.75" customHeight="1">
      <c r="A122" s="71">
        <v>51.5</v>
      </c>
      <c r="B122" s="72">
        <v>2160.58</v>
      </c>
      <c r="C122" s="73">
        <v>2440.44</v>
      </c>
      <c r="D122" s="73">
        <v>2971.93</v>
      </c>
      <c r="E122" s="73">
        <v>3222.95</v>
      </c>
      <c r="F122" s="73">
        <v>3267.15</v>
      </c>
      <c r="G122" s="73">
        <v>4275.75</v>
      </c>
      <c r="H122" s="74">
        <v>6406.93</v>
      </c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</row>
    <row r="123" spans="1:28" ht="12.75" customHeight="1">
      <c r="A123" s="65">
        <v>52</v>
      </c>
      <c r="B123" s="75">
        <v>2179.13</v>
      </c>
      <c r="C123" s="66">
        <v>2461.7600000000002</v>
      </c>
      <c r="D123" s="66">
        <v>2995.71</v>
      </c>
      <c r="E123" s="66">
        <v>3249.17</v>
      </c>
      <c r="F123" s="66">
        <v>3294.27</v>
      </c>
      <c r="G123" s="66">
        <v>4312.03</v>
      </c>
      <c r="H123" s="67">
        <v>6459.98</v>
      </c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</row>
    <row r="124" spans="1:28" ht="12.75" customHeight="1">
      <c r="A124" s="71">
        <v>52.5</v>
      </c>
      <c r="B124" s="72">
        <v>2197.6799999999998</v>
      </c>
      <c r="C124" s="73">
        <v>2483.08</v>
      </c>
      <c r="D124" s="73">
        <v>3019.49</v>
      </c>
      <c r="E124" s="73">
        <v>3275.39</v>
      </c>
      <c r="F124" s="73">
        <v>3321.39</v>
      </c>
      <c r="G124" s="73">
        <v>4348.32</v>
      </c>
      <c r="H124" s="74">
        <v>6513.03</v>
      </c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</row>
    <row r="125" spans="1:28" ht="12.75" customHeight="1">
      <c r="A125" s="65">
        <v>53</v>
      </c>
      <c r="B125" s="75">
        <v>2216.23</v>
      </c>
      <c r="C125" s="66">
        <v>2504.4</v>
      </c>
      <c r="D125" s="66">
        <v>3043.27</v>
      </c>
      <c r="E125" s="66">
        <v>3301.61</v>
      </c>
      <c r="F125" s="66">
        <v>3348.51</v>
      </c>
      <c r="G125" s="66">
        <v>4384.6000000000004</v>
      </c>
      <c r="H125" s="67">
        <v>6566.09</v>
      </c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</row>
    <row r="126" spans="1:28" ht="12.75" customHeight="1">
      <c r="A126" s="71">
        <v>53.5</v>
      </c>
      <c r="B126" s="72">
        <v>2234.79</v>
      </c>
      <c r="C126" s="73">
        <v>2525.7199999999998</v>
      </c>
      <c r="D126" s="73">
        <v>3067.05</v>
      </c>
      <c r="E126" s="73">
        <v>3327.83</v>
      </c>
      <c r="F126" s="73">
        <v>3375.63</v>
      </c>
      <c r="G126" s="73">
        <v>4420.8900000000003</v>
      </c>
      <c r="H126" s="74">
        <v>6619.14</v>
      </c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</row>
    <row r="127" spans="1:28" ht="12.75" customHeight="1">
      <c r="A127" s="65">
        <v>54</v>
      </c>
      <c r="B127" s="75">
        <v>2253.34</v>
      </c>
      <c r="C127" s="66">
        <v>2547.04</v>
      </c>
      <c r="D127" s="66">
        <v>3090.83</v>
      </c>
      <c r="E127" s="66">
        <v>3354.05</v>
      </c>
      <c r="F127" s="66">
        <v>3402.75</v>
      </c>
      <c r="G127" s="66">
        <v>4457.17</v>
      </c>
      <c r="H127" s="67">
        <v>6672.2</v>
      </c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</row>
    <row r="128" spans="1:28" ht="12.75" customHeight="1">
      <c r="A128" s="71">
        <v>54.5</v>
      </c>
      <c r="B128" s="72">
        <v>2271.89</v>
      </c>
      <c r="C128" s="73">
        <v>2568.36</v>
      </c>
      <c r="D128" s="73">
        <v>3114.61</v>
      </c>
      <c r="E128" s="73">
        <v>3380.27</v>
      </c>
      <c r="F128" s="73">
        <v>3429.88</v>
      </c>
      <c r="G128" s="73">
        <v>4493.46</v>
      </c>
      <c r="H128" s="74">
        <v>6725.25</v>
      </c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</row>
    <row r="129" spans="1:28" ht="12.75" customHeight="1">
      <c r="A129" s="65">
        <v>55</v>
      </c>
      <c r="B129" s="75">
        <v>2290.44</v>
      </c>
      <c r="C129" s="66">
        <v>2589.6799999999998</v>
      </c>
      <c r="D129" s="66">
        <v>3138.39</v>
      </c>
      <c r="E129" s="66">
        <v>3406.49</v>
      </c>
      <c r="F129" s="66">
        <v>3457</v>
      </c>
      <c r="G129" s="66">
        <v>4529.74</v>
      </c>
      <c r="H129" s="67">
        <v>6778.3</v>
      </c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</row>
    <row r="130" spans="1:28" ht="12.75" customHeight="1">
      <c r="A130" s="71">
        <v>55.5</v>
      </c>
      <c r="B130" s="72">
        <v>2309</v>
      </c>
      <c r="C130" s="73">
        <v>2611</v>
      </c>
      <c r="D130" s="73">
        <v>3162.17</v>
      </c>
      <c r="E130" s="73">
        <v>3432.7</v>
      </c>
      <c r="F130" s="73">
        <v>3484.12</v>
      </c>
      <c r="G130" s="73">
        <v>4566.03</v>
      </c>
      <c r="H130" s="74">
        <v>6831.36</v>
      </c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</row>
    <row r="131" spans="1:28" ht="12.75" customHeight="1">
      <c r="A131" s="65">
        <v>56</v>
      </c>
      <c r="B131" s="75">
        <v>2327.5500000000002</v>
      </c>
      <c r="C131" s="66">
        <v>2632.32</v>
      </c>
      <c r="D131" s="66">
        <v>3185.95</v>
      </c>
      <c r="E131" s="66">
        <v>3458.92</v>
      </c>
      <c r="F131" s="66">
        <v>3511.24</v>
      </c>
      <c r="G131" s="66">
        <v>4602.3100000000004</v>
      </c>
      <c r="H131" s="67">
        <v>6884.41</v>
      </c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</row>
    <row r="132" spans="1:28" ht="12.75" customHeight="1">
      <c r="A132" s="71">
        <v>56.5</v>
      </c>
      <c r="B132" s="72">
        <v>2346.1</v>
      </c>
      <c r="C132" s="73">
        <v>2653.64</v>
      </c>
      <c r="D132" s="73">
        <v>3209.73</v>
      </c>
      <c r="E132" s="73">
        <v>3485.14</v>
      </c>
      <c r="F132" s="73">
        <v>3538.36</v>
      </c>
      <c r="G132" s="73">
        <v>4638.6000000000004</v>
      </c>
      <c r="H132" s="74">
        <v>6937.47</v>
      </c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</row>
    <row r="133" spans="1:28" ht="12.75" customHeight="1">
      <c r="A133" s="65">
        <v>57</v>
      </c>
      <c r="B133" s="75">
        <v>2364.65</v>
      </c>
      <c r="C133" s="66">
        <v>2674.96</v>
      </c>
      <c r="D133" s="66">
        <v>3233.51</v>
      </c>
      <c r="E133" s="66">
        <v>3511.36</v>
      </c>
      <c r="F133" s="66">
        <v>3565.48</v>
      </c>
      <c r="G133" s="66">
        <v>4674.88</v>
      </c>
      <c r="H133" s="67">
        <v>6990.52</v>
      </c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</row>
    <row r="134" spans="1:28" ht="12.75" customHeight="1">
      <c r="A134" s="71">
        <v>57.5</v>
      </c>
      <c r="B134" s="72">
        <v>2383.21</v>
      </c>
      <c r="C134" s="73">
        <v>2696.28</v>
      </c>
      <c r="D134" s="73">
        <v>3257.29</v>
      </c>
      <c r="E134" s="73">
        <v>3537.58</v>
      </c>
      <c r="F134" s="73">
        <v>3592.6</v>
      </c>
      <c r="G134" s="73">
        <v>4711.17</v>
      </c>
      <c r="H134" s="74">
        <v>7043.57</v>
      </c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</row>
    <row r="135" spans="1:28" ht="12.75" customHeight="1">
      <c r="A135" s="65">
        <v>58</v>
      </c>
      <c r="B135" s="75">
        <v>2401.7600000000002</v>
      </c>
      <c r="C135" s="66">
        <v>2717.6</v>
      </c>
      <c r="D135" s="66">
        <v>3281.07</v>
      </c>
      <c r="E135" s="66">
        <v>3563.8</v>
      </c>
      <c r="F135" s="66">
        <v>3619.73</v>
      </c>
      <c r="G135" s="66">
        <v>4747.45</v>
      </c>
      <c r="H135" s="67">
        <v>7096.63</v>
      </c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</row>
    <row r="136" spans="1:28" ht="12.75" customHeight="1">
      <c r="A136" s="71">
        <v>58.5</v>
      </c>
      <c r="B136" s="72">
        <v>2420.31</v>
      </c>
      <c r="C136" s="73">
        <v>2738.92</v>
      </c>
      <c r="D136" s="73">
        <v>3304.85</v>
      </c>
      <c r="E136" s="73">
        <v>3590.02</v>
      </c>
      <c r="F136" s="73">
        <v>3646.85</v>
      </c>
      <c r="G136" s="73">
        <v>4783.74</v>
      </c>
      <c r="H136" s="74">
        <v>7149.68</v>
      </c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</row>
    <row r="137" spans="1:28" ht="12.75" customHeight="1">
      <c r="A137" s="65">
        <v>59</v>
      </c>
      <c r="B137" s="75">
        <v>2438.86</v>
      </c>
      <c r="C137" s="66">
        <v>2760.24</v>
      </c>
      <c r="D137" s="66">
        <v>3328.63</v>
      </c>
      <c r="E137" s="66">
        <v>3616.24</v>
      </c>
      <c r="F137" s="66">
        <v>3673.97</v>
      </c>
      <c r="G137" s="66">
        <v>4820.0200000000004</v>
      </c>
      <c r="H137" s="67">
        <v>7202.74</v>
      </c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</row>
    <row r="138" spans="1:28" ht="12.75" customHeight="1">
      <c r="A138" s="71">
        <v>59.5</v>
      </c>
      <c r="B138" s="72">
        <v>2457.42</v>
      </c>
      <c r="C138" s="73">
        <v>2781.56</v>
      </c>
      <c r="D138" s="73">
        <v>3352.41</v>
      </c>
      <c r="E138" s="73">
        <v>3642.46</v>
      </c>
      <c r="F138" s="73">
        <v>3701.09</v>
      </c>
      <c r="G138" s="73">
        <v>4856.3100000000004</v>
      </c>
      <c r="H138" s="74">
        <v>7255.79</v>
      </c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</row>
    <row r="139" spans="1:28" ht="12.75" customHeight="1">
      <c r="A139" s="65">
        <v>60</v>
      </c>
      <c r="B139" s="75">
        <v>2475.9699999999998</v>
      </c>
      <c r="C139" s="66">
        <v>2802.88</v>
      </c>
      <c r="D139" s="66">
        <v>3376.19</v>
      </c>
      <c r="E139" s="66">
        <v>3668.68</v>
      </c>
      <c r="F139" s="66">
        <v>3728.21</v>
      </c>
      <c r="G139" s="66">
        <v>4892.59</v>
      </c>
      <c r="H139" s="67">
        <v>7308.84</v>
      </c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</row>
    <row r="140" spans="1:28" ht="12.75" customHeight="1">
      <c r="A140" s="71">
        <v>60.5</v>
      </c>
      <c r="B140" s="72">
        <v>2494.52</v>
      </c>
      <c r="C140" s="73">
        <v>2824.2</v>
      </c>
      <c r="D140" s="73">
        <v>3399.97</v>
      </c>
      <c r="E140" s="73">
        <v>3694.9</v>
      </c>
      <c r="F140" s="73">
        <v>3755.33</v>
      </c>
      <c r="G140" s="73">
        <v>4928.88</v>
      </c>
      <c r="H140" s="74">
        <v>7361.9</v>
      </c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</row>
    <row r="141" spans="1:28" ht="12.75" customHeight="1">
      <c r="A141" s="65">
        <v>61</v>
      </c>
      <c r="B141" s="75">
        <v>2513.0700000000002</v>
      </c>
      <c r="C141" s="66">
        <v>2845.52</v>
      </c>
      <c r="D141" s="66">
        <v>3423.75</v>
      </c>
      <c r="E141" s="66">
        <v>3721.12</v>
      </c>
      <c r="F141" s="66">
        <v>3782.46</v>
      </c>
      <c r="G141" s="66">
        <v>4965.16</v>
      </c>
      <c r="H141" s="67">
        <v>7414.95</v>
      </c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</row>
    <row r="142" spans="1:28" ht="12.75" customHeight="1">
      <c r="A142" s="71">
        <v>61.5</v>
      </c>
      <c r="B142" s="72">
        <v>2531.63</v>
      </c>
      <c r="C142" s="73">
        <v>2866.84</v>
      </c>
      <c r="D142" s="73">
        <v>3447.53</v>
      </c>
      <c r="E142" s="73">
        <v>3747.34</v>
      </c>
      <c r="F142" s="73">
        <v>3809.58</v>
      </c>
      <c r="G142" s="73">
        <v>5001.45</v>
      </c>
      <c r="H142" s="74">
        <v>7468.01</v>
      </c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</row>
    <row r="143" spans="1:28" ht="12.75" customHeight="1">
      <c r="A143" s="65">
        <v>62</v>
      </c>
      <c r="B143" s="75">
        <v>2550.1799999999998</v>
      </c>
      <c r="C143" s="66">
        <v>2888.16</v>
      </c>
      <c r="D143" s="66">
        <v>3471.31</v>
      </c>
      <c r="E143" s="66">
        <v>3773.56</v>
      </c>
      <c r="F143" s="66">
        <v>3836.7</v>
      </c>
      <c r="G143" s="66">
        <v>5037.7299999999996</v>
      </c>
      <c r="H143" s="67">
        <v>7521.06</v>
      </c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</row>
    <row r="144" spans="1:28" ht="12.75" customHeight="1">
      <c r="A144" s="71">
        <v>62.5</v>
      </c>
      <c r="B144" s="72">
        <v>2568.73</v>
      </c>
      <c r="C144" s="73">
        <v>2909.48</v>
      </c>
      <c r="D144" s="73">
        <v>3495.09</v>
      </c>
      <c r="E144" s="73">
        <v>3799.78</v>
      </c>
      <c r="F144" s="73">
        <v>3863.82</v>
      </c>
      <c r="G144" s="73">
        <v>5074.0200000000004</v>
      </c>
      <c r="H144" s="74">
        <v>7574.11</v>
      </c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</row>
    <row r="145" spans="1:28" ht="12.75" customHeight="1">
      <c r="A145" s="65">
        <v>63</v>
      </c>
      <c r="B145" s="75">
        <v>2587.2800000000002</v>
      </c>
      <c r="C145" s="66">
        <v>2930.8</v>
      </c>
      <c r="D145" s="66">
        <v>3518.87</v>
      </c>
      <c r="E145" s="66">
        <v>3826</v>
      </c>
      <c r="F145" s="66">
        <v>3890.94</v>
      </c>
      <c r="G145" s="66">
        <v>5110.3</v>
      </c>
      <c r="H145" s="67">
        <v>7627.17</v>
      </c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</row>
    <row r="146" spans="1:28" ht="12.75" customHeight="1">
      <c r="A146" s="71">
        <v>63.5</v>
      </c>
      <c r="B146" s="72">
        <v>2605.84</v>
      </c>
      <c r="C146" s="73">
        <v>2952.12</v>
      </c>
      <c r="D146" s="73">
        <v>3542.65</v>
      </c>
      <c r="E146" s="73">
        <v>3852.22</v>
      </c>
      <c r="F146" s="73">
        <v>3918.06</v>
      </c>
      <c r="G146" s="73">
        <v>5146.59</v>
      </c>
      <c r="H146" s="74">
        <v>7680.22</v>
      </c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</row>
    <row r="147" spans="1:28" ht="12.75" customHeight="1">
      <c r="A147" s="65">
        <v>64</v>
      </c>
      <c r="B147" s="75">
        <v>2624.39</v>
      </c>
      <c r="C147" s="66">
        <v>2973.44</v>
      </c>
      <c r="D147" s="66">
        <v>3566.43</v>
      </c>
      <c r="E147" s="66">
        <v>3878.44</v>
      </c>
      <c r="F147" s="66">
        <v>3945.18</v>
      </c>
      <c r="G147" s="66">
        <v>5182.87</v>
      </c>
      <c r="H147" s="67">
        <v>7733.28</v>
      </c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</row>
    <row r="148" spans="1:28" ht="12.75" customHeight="1">
      <c r="A148" s="71">
        <v>64.5</v>
      </c>
      <c r="B148" s="72">
        <v>2642.94</v>
      </c>
      <c r="C148" s="73">
        <v>2994.76</v>
      </c>
      <c r="D148" s="73">
        <v>3590.21</v>
      </c>
      <c r="E148" s="73">
        <v>3904.66</v>
      </c>
      <c r="F148" s="73">
        <v>3972.31</v>
      </c>
      <c r="G148" s="73">
        <v>5219.16</v>
      </c>
      <c r="H148" s="74">
        <v>7786.33</v>
      </c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</row>
    <row r="149" spans="1:28" ht="12.75" customHeight="1">
      <c r="A149" s="65">
        <v>65</v>
      </c>
      <c r="B149" s="75">
        <v>2661.49</v>
      </c>
      <c r="C149" s="66">
        <v>3016.08</v>
      </c>
      <c r="D149" s="66">
        <v>3613.99</v>
      </c>
      <c r="E149" s="66">
        <v>3930.88</v>
      </c>
      <c r="F149" s="66">
        <v>3999.43</v>
      </c>
      <c r="G149" s="66">
        <v>5255.44</v>
      </c>
      <c r="H149" s="67">
        <v>7839.38</v>
      </c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</row>
    <row r="150" spans="1:28" ht="12.75" customHeight="1">
      <c r="A150" s="71">
        <v>65.5</v>
      </c>
      <c r="B150" s="72">
        <v>2680.05</v>
      </c>
      <c r="C150" s="73">
        <v>3037.4</v>
      </c>
      <c r="D150" s="73">
        <v>3637.77</v>
      </c>
      <c r="E150" s="73">
        <v>3957.09</v>
      </c>
      <c r="F150" s="73">
        <v>4026.55</v>
      </c>
      <c r="G150" s="73">
        <v>5291.73</v>
      </c>
      <c r="H150" s="74">
        <v>7892.44</v>
      </c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</row>
    <row r="151" spans="1:28" ht="12.75" customHeight="1">
      <c r="A151" s="65">
        <v>66</v>
      </c>
      <c r="B151" s="75">
        <v>2698.6</v>
      </c>
      <c r="C151" s="66">
        <v>3058.72</v>
      </c>
      <c r="D151" s="66">
        <v>3661.55</v>
      </c>
      <c r="E151" s="66">
        <v>3983.31</v>
      </c>
      <c r="F151" s="66">
        <v>4053.67</v>
      </c>
      <c r="G151" s="66">
        <v>5328.01</v>
      </c>
      <c r="H151" s="67">
        <v>7945.49</v>
      </c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</row>
    <row r="152" spans="1:28" ht="12.75" customHeight="1">
      <c r="A152" s="71">
        <v>66.5</v>
      </c>
      <c r="B152" s="72">
        <v>2717.15</v>
      </c>
      <c r="C152" s="73">
        <v>3080.04</v>
      </c>
      <c r="D152" s="73">
        <v>3685.33</v>
      </c>
      <c r="E152" s="73">
        <v>4009.53</v>
      </c>
      <c r="F152" s="73">
        <v>4080.79</v>
      </c>
      <c r="G152" s="73">
        <v>5364.3</v>
      </c>
      <c r="H152" s="74">
        <v>7998.55</v>
      </c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</row>
    <row r="153" spans="1:28" ht="12.75" customHeight="1">
      <c r="A153" s="65">
        <v>67</v>
      </c>
      <c r="B153" s="75">
        <v>2735.7</v>
      </c>
      <c r="C153" s="66">
        <v>3101.36</v>
      </c>
      <c r="D153" s="66">
        <v>3709.11</v>
      </c>
      <c r="E153" s="66">
        <v>4035.75</v>
      </c>
      <c r="F153" s="66">
        <v>4107.91</v>
      </c>
      <c r="G153" s="66">
        <v>5400.58</v>
      </c>
      <c r="H153" s="67">
        <v>8051.6</v>
      </c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</row>
    <row r="154" spans="1:28" ht="12.75" customHeight="1">
      <c r="A154" s="71">
        <v>67.5</v>
      </c>
      <c r="B154" s="72">
        <v>2754.26</v>
      </c>
      <c r="C154" s="73">
        <v>3122.68</v>
      </c>
      <c r="D154" s="73">
        <v>3732.89</v>
      </c>
      <c r="E154" s="73">
        <v>4061.97</v>
      </c>
      <c r="F154" s="73">
        <v>4135.03</v>
      </c>
      <c r="G154" s="73">
        <v>5436.87</v>
      </c>
      <c r="H154" s="74">
        <v>8104.65</v>
      </c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</row>
    <row r="155" spans="1:28" ht="12.75" customHeight="1">
      <c r="A155" s="65">
        <v>68</v>
      </c>
      <c r="B155" s="75">
        <v>2772.81</v>
      </c>
      <c r="C155" s="66">
        <v>3144</v>
      </c>
      <c r="D155" s="66">
        <v>3756.67</v>
      </c>
      <c r="E155" s="66">
        <v>4088.19</v>
      </c>
      <c r="F155" s="66">
        <v>4162.16</v>
      </c>
      <c r="G155" s="66">
        <v>5473.15</v>
      </c>
      <c r="H155" s="67">
        <v>8157.71</v>
      </c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</row>
    <row r="156" spans="1:28" ht="12.75" customHeight="1">
      <c r="A156" s="71">
        <v>68.5</v>
      </c>
      <c r="B156" s="72">
        <v>2791.36</v>
      </c>
      <c r="C156" s="73">
        <v>3165.32</v>
      </c>
      <c r="D156" s="73">
        <v>3780.45</v>
      </c>
      <c r="E156" s="73">
        <v>4114.41</v>
      </c>
      <c r="F156" s="73">
        <v>4189.28</v>
      </c>
      <c r="G156" s="73">
        <v>5509.44</v>
      </c>
      <c r="H156" s="74">
        <v>8210.76</v>
      </c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</row>
    <row r="157" spans="1:28" ht="12.75" customHeight="1">
      <c r="A157" s="65">
        <v>69</v>
      </c>
      <c r="B157" s="75">
        <v>2809.91</v>
      </c>
      <c r="C157" s="66">
        <v>3186.64</v>
      </c>
      <c r="D157" s="66">
        <v>3804.23</v>
      </c>
      <c r="E157" s="66">
        <v>4140.63</v>
      </c>
      <c r="F157" s="66">
        <v>4216.3999999999996</v>
      </c>
      <c r="G157" s="66">
        <v>5545.72</v>
      </c>
      <c r="H157" s="67">
        <v>8263.82</v>
      </c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</row>
    <row r="158" spans="1:28" ht="12.75" customHeight="1">
      <c r="A158" s="71">
        <v>69.5</v>
      </c>
      <c r="B158" s="72">
        <v>2828.47</v>
      </c>
      <c r="C158" s="73">
        <v>3207.96</v>
      </c>
      <c r="D158" s="73">
        <v>3828.01</v>
      </c>
      <c r="E158" s="73">
        <v>4166.8500000000004</v>
      </c>
      <c r="F158" s="73">
        <v>4243.5200000000004</v>
      </c>
      <c r="G158" s="73">
        <v>5582.01</v>
      </c>
      <c r="H158" s="74">
        <v>8316.8700000000008</v>
      </c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</row>
    <row r="159" spans="1:28" ht="12.75" customHeight="1">
      <c r="A159" s="65">
        <v>70</v>
      </c>
      <c r="B159" s="75">
        <v>2847.02</v>
      </c>
      <c r="C159" s="66">
        <v>3229.28</v>
      </c>
      <c r="D159" s="66">
        <v>3851.79</v>
      </c>
      <c r="E159" s="66">
        <v>4193.07</v>
      </c>
      <c r="F159" s="66">
        <v>4270.6400000000003</v>
      </c>
      <c r="G159" s="66">
        <v>5618.29</v>
      </c>
      <c r="H159" s="67">
        <v>8369.92</v>
      </c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</row>
    <row r="160" spans="1:28" ht="12.75" customHeight="1">
      <c r="A160" s="71">
        <v>70.5</v>
      </c>
      <c r="B160" s="72">
        <v>2868.42</v>
      </c>
      <c r="C160" s="73">
        <v>3250.62</v>
      </c>
      <c r="D160" s="73">
        <v>3875.57</v>
      </c>
      <c r="E160" s="73">
        <v>4222.1000000000004</v>
      </c>
      <c r="F160" s="73">
        <v>4300.82</v>
      </c>
      <c r="G160" s="73">
        <v>5654.58</v>
      </c>
      <c r="H160" s="74">
        <v>8430.52</v>
      </c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</row>
    <row r="161" spans="1:28" ht="12.75" customHeight="1">
      <c r="A161" s="65">
        <v>71</v>
      </c>
      <c r="B161" s="75">
        <v>2889.82</v>
      </c>
      <c r="C161" s="66">
        <v>3271.96</v>
      </c>
      <c r="D161" s="66">
        <v>3899.35</v>
      </c>
      <c r="E161" s="66">
        <v>4251.13</v>
      </c>
      <c r="F161" s="66">
        <v>4330.99</v>
      </c>
      <c r="G161" s="66">
        <v>5690.86</v>
      </c>
      <c r="H161" s="67">
        <v>8491.1200000000008</v>
      </c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</row>
    <row r="162" spans="1:28" ht="12.75" customHeight="1">
      <c r="A162" s="71">
        <v>71.5</v>
      </c>
      <c r="B162" s="72">
        <v>2911.23</v>
      </c>
      <c r="C162" s="73">
        <v>3293.3</v>
      </c>
      <c r="D162" s="73">
        <v>3923.13</v>
      </c>
      <c r="E162" s="73">
        <v>4280.1499999999996</v>
      </c>
      <c r="F162" s="73">
        <v>4361.17</v>
      </c>
      <c r="G162" s="73">
        <v>5727.15</v>
      </c>
      <c r="H162" s="74">
        <v>8551.7199999999993</v>
      </c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</row>
    <row r="163" spans="1:28" ht="12.75" customHeight="1">
      <c r="A163" s="65">
        <v>72</v>
      </c>
      <c r="B163" s="75">
        <v>2932.63</v>
      </c>
      <c r="C163" s="66">
        <v>3314.65</v>
      </c>
      <c r="D163" s="66">
        <v>3946.91</v>
      </c>
      <c r="E163" s="66">
        <v>4309.18</v>
      </c>
      <c r="F163" s="66">
        <v>4391.3500000000004</v>
      </c>
      <c r="G163" s="66">
        <v>5763.43</v>
      </c>
      <c r="H163" s="67">
        <v>8612.32</v>
      </c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</row>
    <row r="164" spans="1:28" ht="12.75" customHeight="1">
      <c r="A164" s="71">
        <v>72.5</v>
      </c>
      <c r="B164" s="72">
        <v>2954.03</v>
      </c>
      <c r="C164" s="73">
        <v>3335.99</v>
      </c>
      <c r="D164" s="73">
        <v>3970.69</v>
      </c>
      <c r="E164" s="73">
        <v>4338.21</v>
      </c>
      <c r="F164" s="73">
        <v>4421.5200000000004</v>
      </c>
      <c r="G164" s="73">
        <v>5799.72</v>
      </c>
      <c r="H164" s="74">
        <v>8672.91</v>
      </c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</row>
    <row r="165" spans="1:28" ht="12.75" customHeight="1">
      <c r="A165" s="65">
        <v>73</v>
      </c>
      <c r="B165" s="75">
        <v>2975.43</v>
      </c>
      <c r="C165" s="66">
        <v>3357.33</v>
      </c>
      <c r="D165" s="66">
        <v>3994.47</v>
      </c>
      <c r="E165" s="66">
        <v>4367.24</v>
      </c>
      <c r="F165" s="66">
        <v>4451.7</v>
      </c>
      <c r="G165" s="66">
        <v>5836</v>
      </c>
      <c r="H165" s="67">
        <v>8733.51</v>
      </c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</row>
    <row r="166" spans="1:28" ht="12.75" customHeight="1">
      <c r="A166" s="71">
        <v>73.5</v>
      </c>
      <c r="B166" s="72">
        <v>2996.83</v>
      </c>
      <c r="C166" s="73">
        <v>3378.67</v>
      </c>
      <c r="D166" s="73">
        <v>4018.25</v>
      </c>
      <c r="E166" s="73">
        <v>4396.2700000000004</v>
      </c>
      <c r="F166" s="73">
        <v>4481.87</v>
      </c>
      <c r="G166" s="73">
        <v>5872.29</v>
      </c>
      <c r="H166" s="74">
        <v>8794.11</v>
      </c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</row>
    <row r="167" spans="1:28" ht="12.75" customHeight="1">
      <c r="A167" s="65">
        <v>74</v>
      </c>
      <c r="B167" s="75">
        <v>3018.24</v>
      </c>
      <c r="C167" s="66">
        <v>3400.01</v>
      </c>
      <c r="D167" s="66">
        <v>4042.03</v>
      </c>
      <c r="E167" s="66">
        <v>4425.29</v>
      </c>
      <c r="F167" s="66">
        <v>4512.05</v>
      </c>
      <c r="G167" s="66">
        <v>5908.57</v>
      </c>
      <c r="H167" s="67">
        <v>8854.7099999999991</v>
      </c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</row>
    <row r="168" spans="1:28" ht="12.75" customHeight="1">
      <c r="A168" s="71">
        <v>74.5</v>
      </c>
      <c r="B168" s="72">
        <v>3039.64</v>
      </c>
      <c r="C168" s="73">
        <v>3421.35</v>
      </c>
      <c r="D168" s="73">
        <v>4065.81</v>
      </c>
      <c r="E168" s="73">
        <v>4454.32</v>
      </c>
      <c r="F168" s="73">
        <v>4542.2299999999996</v>
      </c>
      <c r="G168" s="73">
        <v>5944.86</v>
      </c>
      <c r="H168" s="74">
        <v>8915.31</v>
      </c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</row>
    <row r="169" spans="1:28" ht="12.75" customHeight="1">
      <c r="A169" s="65">
        <v>75</v>
      </c>
      <c r="B169" s="75">
        <v>3061.04</v>
      </c>
      <c r="C169" s="66">
        <v>3442.69</v>
      </c>
      <c r="D169" s="66">
        <v>4089.59</v>
      </c>
      <c r="E169" s="66">
        <v>4483.3500000000004</v>
      </c>
      <c r="F169" s="66">
        <v>4572.3999999999996</v>
      </c>
      <c r="G169" s="66">
        <v>5981.14</v>
      </c>
      <c r="H169" s="67">
        <v>8975.9</v>
      </c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</row>
    <row r="170" spans="1:28" ht="12.75" customHeight="1">
      <c r="A170" s="71">
        <v>75.5</v>
      </c>
      <c r="B170" s="72">
        <v>3082.44</v>
      </c>
      <c r="C170" s="73">
        <v>3464.03</v>
      </c>
      <c r="D170" s="73">
        <v>4113.37</v>
      </c>
      <c r="E170" s="73">
        <v>4512.38</v>
      </c>
      <c r="F170" s="73">
        <v>4602.58</v>
      </c>
      <c r="G170" s="73">
        <v>6017.43</v>
      </c>
      <c r="H170" s="74">
        <v>9036.5</v>
      </c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</row>
    <row r="171" spans="1:28" ht="12.75" customHeight="1">
      <c r="A171" s="65">
        <v>76</v>
      </c>
      <c r="B171" s="75">
        <v>3103.84</v>
      </c>
      <c r="C171" s="66">
        <v>3485.37</v>
      </c>
      <c r="D171" s="66">
        <v>4137.1499999999996</v>
      </c>
      <c r="E171" s="66">
        <v>4541.41</v>
      </c>
      <c r="F171" s="66">
        <v>4632.75</v>
      </c>
      <c r="G171" s="66">
        <v>6053.71</v>
      </c>
      <c r="H171" s="67">
        <v>9097.1</v>
      </c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</row>
    <row r="172" spans="1:28" ht="12.75" customHeight="1">
      <c r="A172" s="71">
        <v>76.5</v>
      </c>
      <c r="B172" s="72">
        <v>3125.25</v>
      </c>
      <c r="C172" s="73">
        <v>3506.71</v>
      </c>
      <c r="D172" s="73">
        <v>4160.93</v>
      </c>
      <c r="E172" s="73">
        <v>4570.43</v>
      </c>
      <c r="F172" s="73">
        <v>4662.93</v>
      </c>
      <c r="G172" s="73">
        <v>6090</v>
      </c>
      <c r="H172" s="74">
        <v>9157.7000000000007</v>
      </c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</row>
    <row r="173" spans="1:28" ht="12.75" customHeight="1">
      <c r="A173" s="65">
        <v>77</v>
      </c>
      <c r="B173" s="75">
        <v>3146.65</v>
      </c>
      <c r="C173" s="66">
        <v>3528.05</v>
      </c>
      <c r="D173" s="66">
        <v>4184.71</v>
      </c>
      <c r="E173" s="66">
        <v>4599.46</v>
      </c>
      <c r="F173" s="66">
        <v>4693.1099999999997</v>
      </c>
      <c r="G173" s="66">
        <v>6126.28</v>
      </c>
      <c r="H173" s="67">
        <v>9218.2999999999993</v>
      </c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</row>
    <row r="174" spans="1:28" ht="12.75" customHeight="1">
      <c r="A174" s="71">
        <v>77.5</v>
      </c>
      <c r="B174" s="72">
        <v>3168.05</v>
      </c>
      <c r="C174" s="73">
        <v>3549.39</v>
      </c>
      <c r="D174" s="73">
        <v>4208.49</v>
      </c>
      <c r="E174" s="73">
        <v>4628.49</v>
      </c>
      <c r="F174" s="73">
        <v>4723.28</v>
      </c>
      <c r="G174" s="73">
        <v>6162.57</v>
      </c>
      <c r="H174" s="74">
        <v>9278.89</v>
      </c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</row>
    <row r="175" spans="1:28" ht="12.75" customHeight="1">
      <c r="A175" s="65">
        <v>78</v>
      </c>
      <c r="B175" s="75">
        <v>3189.45</v>
      </c>
      <c r="C175" s="66">
        <v>3570.73</v>
      </c>
      <c r="D175" s="66">
        <v>4232.2700000000004</v>
      </c>
      <c r="E175" s="66">
        <v>4657.5200000000004</v>
      </c>
      <c r="F175" s="66">
        <v>4753.46</v>
      </c>
      <c r="G175" s="66">
        <v>6198.85</v>
      </c>
      <c r="H175" s="67">
        <v>9339.49</v>
      </c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</row>
    <row r="176" spans="1:28" ht="12.75" customHeight="1">
      <c r="A176" s="71">
        <v>78.5</v>
      </c>
      <c r="B176" s="72">
        <v>3210.85</v>
      </c>
      <c r="C176" s="73">
        <v>3592.07</v>
      </c>
      <c r="D176" s="73">
        <v>4256.05</v>
      </c>
      <c r="E176" s="73">
        <v>4686.55</v>
      </c>
      <c r="F176" s="73">
        <v>4783.63</v>
      </c>
      <c r="G176" s="73">
        <v>6235.14</v>
      </c>
      <c r="H176" s="74">
        <v>9400.09</v>
      </c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</row>
    <row r="177" spans="1:28" ht="12.75" customHeight="1">
      <c r="A177" s="65">
        <v>79</v>
      </c>
      <c r="B177" s="75">
        <v>3232.26</v>
      </c>
      <c r="C177" s="66">
        <v>3613.41</v>
      </c>
      <c r="D177" s="66">
        <v>4279.83</v>
      </c>
      <c r="E177" s="66">
        <v>4715.57</v>
      </c>
      <c r="F177" s="66">
        <v>4813.8100000000004</v>
      </c>
      <c r="G177" s="66">
        <v>6271.42</v>
      </c>
      <c r="H177" s="67">
        <v>9460.69</v>
      </c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</row>
    <row r="178" spans="1:28" ht="12.75" customHeight="1">
      <c r="A178" s="71">
        <v>79.5</v>
      </c>
      <c r="B178" s="72">
        <v>3253.66</v>
      </c>
      <c r="C178" s="73">
        <v>3634.75</v>
      </c>
      <c r="D178" s="73">
        <v>4303.6099999999997</v>
      </c>
      <c r="E178" s="73">
        <v>4744.6000000000004</v>
      </c>
      <c r="F178" s="73">
        <v>4843.99</v>
      </c>
      <c r="G178" s="73">
        <v>6307.71</v>
      </c>
      <c r="H178" s="74">
        <v>9521.2900000000009</v>
      </c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</row>
    <row r="179" spans="1:28" ht="12.75" customHeight="1">
      <c r="A179" s="65">
        <v>80</v>
      </c>
      <c r="B179" s="75">
        <v>3275.06</v>
      </c>
      <c r="C179" s="66">
        <v>3656.09</v>
      </c>
      <c r="D179" s="66">
        <v>4327.3900000000003</v>
      </c>
      <c r="E179" s="66">
        <v>4773.63</v>
      </c>
      <c r="F179" s="66">
        <v>4874.16</v>
      </c>
      <c r="G179" s="66">
        <v>6343.99</v>
      </c>
      <c r="H179" s="67">
        <v>9581.8799999999992</v>
      </c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</row>
    <row r="180" spans="1:28" ht="12.75" customHeight="1">
      <c r="A180" s="71">
        <v>80.5</v>
      </c>
      <c r="B180" s="72">
        <v>3296.46</v>
      </c>
      <c r="C180" s="73">
        <v>3677.43</v>
      </c>
      <c r="D180" s="73">
        <v>4351.17</v>
      </c>
      <c r="E180" s="73">
        <v>4802.66</v>
      </c>
      <c r="F180" s="73">
        <v>4904.34</v>
      </c>
      <c r="G180" s="73">
        <v>6380.28</v>
      </c>
      <c r="H180" s="74">
        <v>9642.48</v>
      </c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</row>
    <row r="181" spans="1:28" ht="12.75" customHeight="1">
      <c r="A181" s="65">
        <v>81</v>
      </c>
      <c r="B181" s="75">
        <v>3317.86</v>
      </c>
      <c r="C181" s="66">
        <v>3698.77</v>
      </c>
      <c r="D181" s="66">
        <v>4374.95</v>
      </c>
      <c r="E181" s="66">
        <v>4831.6899999999996</v>
      </c>
      <c r="F181" s="66">
        <v>4934.51</v>
      </c>
      <c r="G181" s="66">
        <v>6416.56</v>
      </c>
      <c r="H181" s="67">
        <v>9703.08</v>
      </c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</row>
    <row r="182" spans="1:28" ht="12.75" customHeight="1">
      <c r="A182" s="71">
        <v>81.5</v>
      </c>
      <c r="B182" s="72">
        <v>3339.27</v>
      </c>
      <c r="C182" s="73">
        <v>3720.11</v>
      </c>
      <c r="D182" s="73">
        <v>4398.7299999999996</v>
      </c>
      <c r="E182" s="73">
        <v>4860.71</v>
      </c>
      <c r="F182" s="73">
        <v>4964.6899999999996</v>
      </c>
      <c r="G182" s="73">
        <v>6452.85</v>
      </c>
      <c r="H182" s="74">
        <v>9763.68</v>
      </c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</row>
    <row r="183" spans="1:28" ht="12.75" customHeight="1">
      <c r="A183" s="65">
        <v>82</v>
      </c>
      <c r="B183" s="75">
        <v>3360.67</v>
      </c>
      <c r="C183" s="66">
        <v>3741.46</v>
      </c>
      <c r="D183" s="66">
        <v>4422.51</v>
      </c>
      <c r="E183" s="66">
        <v>4889.74</v>
      </c>
      <c r="F183" s="66">
        <v>4994.87</v>
      </c>
      <c r="G183" s="66">
        <v>6489.13</v>
      </c>
      <c r="H183" s="67">
        <v>9824.2800000000007</v>
      </c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</row>
    <row r="184" spans="1:28" ht="12.75" customHeight="1">
      <c r="A184" s="71">
        <v>82.5</v>
      </c>
      <c r="B184" s="72">
        <v>3382.07</v>
      </c>
      <c r="C184" s="73">
        <v>3762.8</v>
      </c>
      <c r="D184" s="73">
        <v>4446.29</v>
      </c>
      <c r="E184" s="73">
        <v>4918.7700000000004</v>
      </c>
      <c r="F184" s="73">
        <v>5025.04</v>
      </c>
      <c r="G184" s="73">
        <v>6525.42</v>
      </c>
      <c r="H184" s="74">
        <v>9884.8700000000008</v>
      </c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</row>
    <row r="185" spans="1:28" ht="12.75" customHeight="1">
      <c r="A185" s="65">
        <v>83</v>
      </c>
      <c r="B185" s="75">
        <v>3403.47</v>
      </c>
      <c r="C185" s="66">
        <v>3784.14</v>
      </c>
      <c r="D185" s="66">
        <v>4470.07</v>
      </c>
      <c r="E185" s="66">
        <v>4947.8</v>
      </c>
      <c r="F185" s="66">
        <v>5055.22</v>
      </c>
      <c r="G185" s="66">
        <v>6561.7</v>
      </c>
      <c r="H185" s="67">
        <v>9945.4699999999993</v>
      </c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</row>
    <row r="186" spans="1:28" ht="12.75" customHeight="1">
      <c r="A186" s="71">
        <v>83.5</v>
      </c>
      <c r="B186" s="72">
        <v>3424.87</v>
      </c>
      <c r="C186" s="73">
        <v>3805.48</v>
      </c>
      <c r="D186" s="73">
        <v>4493.8500000000004</v>
      </c>
      <c r="E186" s="73">
        <v>4976.83</v>
      </c>
      <c r="F186" s="73">
        <v>5085.3900000000003</v>
      </c>
      <c r="G186" s="73">
        <v>6597.99</v>
      </c>
      <c r="H186" s="74">
        <v>10006.07</v>
      </c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</row>
    <row r="187" spans="1:28" ht="12.75" customHeight="1">
      <c r="A187" s="65">
        <v>84</v>
      </c>
      <c r="B187" s="75">
        <v>3446.28</v>
      </c>
      <c r="C187" s="66">
        <v>3826.82</v>
      </c>
      <c r="D187" s="66">
        <v>4517.63</v>
      </c>
      <c r="E187" s="66">
        <v>5005.8500000000004</v>
      </c>
      <c r="F187" s="66">
        <v>5115.57</v>
      </c>
      <c r="G187" s="66">
        <v>6634.27</v>
      </c>
      <c r="H187" s="67">
        <v>10066.67</v>
      </c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</row>
    <row r="188" spans="1:28" ht="12.75" customHeight="1">
      <c r="A188" s="71">
        <v>84.5</v>
      </c>
      <c r="B188" s="72">
        <v>3467.68</v>
      </c>
      <c r="C188" s="73">
        <v>3848.16</v>
      </c>
      <c r="D188" s="73">
        <v>4541.41</v>
      </c>
      <c r="E188" s="73">
        <v>5034.88</v>
      </c>
      <c r="F188" s="73">
        <v>5145.75</v>
      </c>
      <c r="G188" s="73">
        <v>6670.56</v>
      </c>
      <c r="H188" s="74">
        <v>10127.27</v>
      </c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</row>
    <row r="189" spans="1:28" ht="12.75" customHeight="1">
      <c r="A189" s="65">
        <v>85</v>
      </c>
      <c r="B189" s="75">
        <v>3489.08</v>
      </c>
      <c r="C189" s="66">
        <v>3869.5</v>
      </c>
      <c r="D189" s="66">
        <v>4565.1899999999996</v>
      </c>
      <c r="E189" s="66">
        <v>5063.91</v>
      </c>
      <c r="F189" s="66">
        <v>5175.92</v>
      </c>
      <c r="G189" s="66">
        <v>6706.84</v>
      </c>
      <c r="H189" s="67">
        <v>10187.86</v>
      </c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</row>
    <row r="190" spans="1:28" ht="12.75" customHeight="1">
      <c r="A190" s="71">
        <v>85.5</v>
      </c>
      <c r="B190" s="72">
        <v>3510.48</v>
      </c>
      <c r="C190" s="73">
        <v>3890.84</v>
      </c>
      <c r="D190" s="73">
        <v>4588.97</v>
      </c>
      <c r="E190" s="73">
        <v>5092.9399999999996</v>
      </c>
      <c r="F190" s="73">
        <v>5206.1000000000004</v>
      </c>
      <c r="G190" s="73">
        <v>6743.13</v>
      </c>
      <c r="H190" s="74">
        <v>10248.459999999999</v>
      </c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</row>
    <row r="191" spans="1:28" ht="12.75" customHeight="1">
      <c r="A191" s="65">
        <v>86</v>
      </c>
      <c r="B191" s="75">
        <v>3531.88</v>
      </c>
      <c r="C191" s="66">
        <v>3912.18</v>
      </c>
      <c r="D191" s="66">
        <v>4612.75</v>
      </c>
      <c r="E191" s="66">
        <v>5121.97</v>
      </c>
      <c r="F191" s="66">
        <v>5236.2700000000004</v>
      </c>
      <c r="G191" s="66">
        <v>6779.41</v>
      </c>
      <c r="H191" s="67">
        <v>10309.06</v>
      </c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</row>
    <row r="192" spans="1:28" ht="12.75" customHeight="1">
      <c r="A192" s="71">
        <v>86.5</v>
      </c>
      <c r="B192" s="72">
        <v>3553.29</v>
      </c>
      <c r="C192" s="73">
        <v>3933.52</v>
      </c>
      <c r="D192" s="73">
        <v>4636.53</v>
      </c>
      <c r="E192" s="73">
        <v>5150.99</v>
      </c>
      <c r="F192" s="73">
        <v>5266.45</v>
      </c>
      <c r="G192" s="73">
        <v>6815.7</v>
      </c>
      <c r="H192" s="74">
        <v>10369.66</v>
      </c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</row>
    <row r="193" spans="1:28" ht="12.75" customHeight="1">
      <c r="A193" s="65">
        <v>87</v>
      </c>
      <c r="B193" s="75">
        <v>3574.69</v>
      </c>
      <c r="C193" s="66">
        <v>3954.86</v>
      </c>
      <c r="D193" s="66">
        <v>4660.3100000000004</v>
      </c>
      <c r="E193" s="66">
        <v>5180.0200000000004</v>
      </c>
      <c r="F193" s="66">
        <v>5296.63</v>
      </c>
      <c r="G193" s="66">
        <v>6851.98</v>
      </c>
      <c r="H193" s="67">
        <v>10430.26</v>
      </c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</row>
    <row r="194" spans="1:28" ht="12.75" customHeight="1">
      <c r="A194" s="71">
        <v>87.5</v>
      </c>
      <c r="B194" s="72">
        <v>3596.09</v>
      </c>
      <c r="C194" s="73">
        <v>3976.2</v>
      </c>
      <c r="D194" s="73">
        <v>4684.09</v>
      </c>
      <c r="E194" s="73">
        <v>5209.05</v>
      </c>
      <c r="F194" s="73">
        <v>5326.8</v>
      </c>
      <c r="G194" s="73">
        <v>6888.27</v>
      </c>
      <c r="H194" s="74">
        <v>10490.85</v>
      </c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</row>
    <row r="195" spans="1:28" ht="12.75" customHeight="1">
      <c r="A195" s="65">
        <v>88</v>
      </c>
      <c r="B195" s="75">
        <v>3617.49</v>
      </c>
      <c r="C195" s="66">
        <v>3997.54</v>
      </c>
      <c r="D195" s="66">
        <v>4707.87</v>
      </c>
      <c r="E195" s="66">
        <v>5238.08</v>
      </c>
      <c r="F195" s="66">
        <v>5356.98</v>
      </c>
      <c r="G195" s="66">
        <v>6924.55</v>
      </c>
      <c r="H195" s="67">
        <v>10551.45</v>
      </c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</row>
    <row r="196" spans="1:28" ht="12.75" customHeight="1">
      <c r="A196" s="71">
        <v>88.5</v>
      </c>
      <c r="B196" s="72">
        <v>3638.89</v>
      </c>
      <c r="C196" s="73">
        <v>4018.88</v>
      </c>
      <c r="D196" s="73">
        <v>4731.6499999999996</v>
      </c>
      <c r="E196" s="73">
        <v>5267.11</v>
      </c>
      <c r="F196" s="73">
        <v>5387.15</v>
      </c>
      <c r="G196" s="73">
        <v>6960.84</v>
      </c>
      <c r="H196" s="74">
        <v>10612.05</v>
      </c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</row>
    <row r="197" spans="1:28" ht="12.75" customHeight="1">
      <c r="A197" s="65">
        <v>89</v>
      </c>
      <c r="B197" s="75">
        <v>3660.3</v>
      </c>
      <c r="C197" s="66">
        <v>4040.22</v>
      </c>
      <c r="D197" s="66">
        <v>4755.43</v>
      </c>
      <c r="E197" s="66">
        <v>5296.13</v>
      </c>
      <c r="F197" s="66">
        <v>5417.33</v>
      </c>
      <c r="G197" s="66">
        <v>6997.12</v>
      </c>
      <c r="H197" s="67">
        <v>10672.65</v>
      </c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</row>
    <row r="198" spans="1:28" ht="12.75" customHeight="1">
      <c r="A198" s="71">
        <v>89.5</v>
      </c>
      <c r="B198" s="72">
        <v>3681.7</v>
      </c>
      <c r="C198" s="73">
        <v>4061.56</v>
      </c>
      <c r="D198" s="73">
        <v>4779.21</v>
      </c>
      <c r="E198" s="73">
        <v>5325.16</v>
      </c>
      <c r="F198" s="73">
        <v>5447.51</v>
      </c>
      <c r="G198" s="73">
        <v>7033.41</v>
      </c>
      <c r="H198" s="74">
        <v>10733.25</v>
      </c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</row>
    <row r="199" spans="1:28" ht="12.75" customHeight="1">
      <c r="A199" s="65">
        <v>90</v>
      </c>
      <c r="B199" s="75">
        <v>3703.1</v>
      </c>
      <c r="C199" s="66">
        <v>4082.9</v>
      </c>
      <c r="D199" s="66">
        <v>4802.99</v>
      </c>
      <c r="E199" s="66">
        <v>5354.19</v>
      </c>
      <c r="F199" s="66">
        <v>5477.68</v>
      </c>
      <c r="G199" s="66">
        <v>7069.69</v>
      </c>
      <c r="H199" s="67">
        <v>10793.84</v>
      </c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</row>
    <row r="200" spans="1:28" ht="12.75" customHeight="1">
      <c r="A200" s="71">
        <v>90.5</v>
      </c>
      <c r="B200" s="72">
        <v>3724.5</v>
      </c>
      <c r="C200" s="73">
        <v>4104.24</v>
      </c>
      <c r="D200" s="73">
        <v>4826.7700000000004</v>
      </c>
      <c r="E200" s="73">
        <v>5383.22</v>
      </c>
      <c r="F200" s="73">
        <v>5507.86</v>
      </c>
      <c r="G200" s="73">
        <v>7105.98</v>
      </c>
      <c r="H200" s="74">
        <v>10854.44</v>
      </c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</row>
    <row r="201" spans="1:28" ht="12.75" customHeight="1">
      <c r="A201" s="65">
        <v>91</v>
      </c>
      <c r="B201" s="75">
        <v>3745.9</v>
      </c>
      <c r="C201" s="66">
        <v>4125.58</v>
      </c>
      <c r="D201" s="66">
        <v>4850.55</v>
      </c>
      <c r="E201" s="66">
        <v>5412.25</v>
      </c>
      <c r="F201" s="66">
        <v>5538.03</v>
      </c>
      <c r="G201" s="66">
        <v>7142.26</v>
      </c>
      <c r="H201" s="67">
        <v>10915.04</v>
      </c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</row>
    <row r="202" spans="1:28" ht="12.75" customHeight="1">
      <c r="A202" s="71">
        <v>91.5</v>
      </c>
      <c r="B202" s="72">
        <v>3767.31</v>
      </c>
      <c r="C202" s="73">
        <v>4146.92</v>
      </c>
      <c r="D202" s="73">
        <v>4874.33</v>
      </c>
      <c r="E202" s="73">
        <v>5441.27</v>
      </c>
      <c r="F202" s="73">
        <v>5568.21</v>
      </c>
      <c r="G202" s="73">
        <v>7178.55</v>
      </c>
      <c r="H202" s="74">
        <v>10975.64</v>
      </c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</row>
    <row r="203" spans="1:28" ht="12.75" customHeight="1">
      <c r="A203" s="65">
        <v>92</v>
      </c>
      <c r="B203" s="75">
        <v>3788.71</v>
      </c>
      <c r="C203" s="66">
        <v>4168.2700000000004</v>
      </c>
      <c r="D203" s="66">
        <v>4898.1099999999997</v>
      </c>
      <c r="E203" s="66">
        <v>5470.3</v>
      </c>
      <c r="F203" s="66">
        <v>5598.39</v>
      </c>
      <c r="G203" s="66">
        <v>7214.83</v>
      </c>
      <c r="H203" s="67">
        <v>11036.24</v>
      </c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</row>
    <row r="204" spans="1:28" ht="12.75" customHeight="1">
      <c r="A204" s="71">
        <v>92.5</v>
      </c>
      <c r="B204" s="72">
        <v>3810.11</v>
      </c>
      <c r="C204" s="73">
        <v>4189.6099999999997</v>
      </c>
      <c r="D204" s="73">
        <v>4921.8900000000003</v>
      </c>
      <c r="E204" s="73">
        <v>5499.33</v>
      </c>
      <c r="F204" s="73">
        <v>5628.56</v>
      </c>
      <c r="G204" s="73">
        <v>7251.12</v>
      </c>
      <c r="H204" s="74">
        <v>11096.83</v>
      </c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</row>
    <row r="205" spans="1:28" ht="12.75" customHeight="1">
      <c r="A205" s="65">
        <v>93</v>
      </c>
      <c r="B205" s="75">
        <v>3831.51</v>
      </c>
      <c r="C205" s="66">
        <v>4210.95</v>
      </c>
      <c r="D205" s="66">
        <v>4945.67</v>
      </c>
      <c r="E205" s="66">
        <v>5528.36</v>
      </c>
      <c r="F205" s="66">
        <v>5658.74</v>
      </c>
      <c r="G205" s="66">
        <v>7287.4</v>
      </c>
      <c r="H205" s="67">
        <v>11157.43</v>
      </c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</row>
    <row r="206" spans="1:28" ht="12.75" customHeight="1">
      <c r="A206" s="71">
        <v>93.5</v>
      </c>
      <c r="B206" s="72">
        <v>3852.91</v>
      </c>
      <c r="C206" s="73">
        <v>4232.29</v>
      </c>
      <c r="D206" s="73">
        <v>4969.45</v>
      </c>
      <c r="E206" s="73">
        <v>5557.39</v>
      </c>
      <c r="F206" s="73">
        <v>5688.91</v>
      </c>
      <c r="G206" s="73">
        <v>7323.69</v>
      </c>
      <c r="H206" s="74">
        <v>11218.03</v>
      </c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</row>
    <row r="207" spans="1:28" ht="12.75" customHeight="1">
      <c r="A207" s="65">
        <v>94</v>
      </c>
      <c r="B207" s="75">
        <v>3874.32</v>
      </c>
      <c r="C207" s="66">
        <v>4253.63</v>
      </c>
      <c r="D207" s="66">
        <v>4993.2299999999996</v>
      </c>
      <c r="E207" s="66">
        <v>5586.41</v>
      </c>
      <c r="F207" s="66">
        <v>5719.09</v>
      </c>
      <c r="G207" s="66">
        <v>7359.97</v>
      </c>
      <c r="H207" s="67">
        <v>11278.63</v>
      </c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</row>
    <row r="208" spans="1:28" ht="12.75" customHeight="1">
      <c r="A208" s="71">
        <v>94.5</v>
      </c>
      <c r="B208" s="72">
        <v>3895.72</v>
      </c>
      <c r="C208" s="73">
        <v>4274.97</v>
      </c>
      <c r="D208" s="73">
        <v>5017.01</v>
      </c>
      <c r="E208" s="73">
        <v>5615.44</v>
      </c>
      <c r="F208" s="73">
        <v>5749.27</v>
      </c>
      <c r="G208" s="73">
        <v>7396.26</v>
      </c>
      <c r="H208" s="74">
        <v>11339.23</v>
      </c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</row>
    <row r="209" spans="1:28" ht="12.75" customHeight="1">
      <c r="A209" s="65">
        <v>95</v>
      </c>
      <c r="B209" s="75">
        <v>3917.12</v>
      </c>
      <c r="C209" s="66">
        <v>4296.3100000000004</v>
      </c>
      <c r="D209" s="66">
        <v>5040.79</v>
      </c>
      <c r="E209" s="66">
        <v>5644.47</v>
      </c>
      <c r="F209" s="66">
        <v>5779.44</v>
      </c>
      <c r="G209" s="66">
        <v>7432.54</v>
      </c>
      <c r="H209" s="67">
        <v>11399.82</v>
      </c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</row>
    <row r="210" spans="1:28" ht="12.75" customHeight="1">
      <c r="A210" s="71">
        <v>95.5</v>
      </c>
      <c r="B210" s="72">
        <v>3938.52</v>
      </c>
      <c r="C210" s="73">
        <v>4317.6499999999996</v>
      </c>
      <c r="D210" s="73">
        <v>5064.57</v>
      </c>
      <c r="E210" s="73">
        <v>5673.5</v>
      </c>
      <c r="F210" s="73">
        <v>5809.62</v>
      </c>
      <c r="G210" s="73">
        <v>7468.83</v>
      </c>
      <c r="H210" s="74">
        <v>11460.42</v>
      </c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</row>
    <row r="211" spans="1:28" ht="12.75" customHeight="1">
      <c r="A211" s="65">
        <v>96</v>
      </c>
      <c r="B211" s="75">
        <v>3959.92</v>
      </c>
      <c r="C211" s="66">
        <v>4338.99</v>
      </c>
      <c r="D211" s="66">
        <v>5088.3500000000004</v>
      </c>
      <c r="E211" s="66">
        <v>5702.53</v>
      </c>
      <c r="F211" s="66">
        <v>5839.79</v>
      </c>
      <c r="G211" s="66">
        <v>7505.11</v>
      </c>
      <c r="H211" s="67">
        <v>11521.02</v>
      </c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</row>
    <row r="212" spans="1:28" ht="12.75" customHeight="1">
      <c r="A212" s="71">
        <v>96.5</v>
      </c>
      <c r="B212" s="72">
        <v>3981.33</v>
      </c>
      <c r="C212" s="73">
        <v>4360.33</v>
      </c>
      <c r="D212" s="73">
        <v>5112.13</v>
      </c>
      <c r="E212" s="73">
        <v>5731.55</v>
      </c>
      <c r="F212" s="73">
        <v>5869.97</v>
      </c>
      <c r="G212" s="73">
        <v>7541.4</v>
      </c>
      <c r="H212" s="74">
        <v>11581.62</v>
      </c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</row>
    <row r="213" spans="1:28" ht="12.75" customHeight="1">
      <c r="A213" s="65">
        <v>97</v>
      </c>
      <c r="B213" s="75">
        <v>4002.73</v>
      </c>
      <c r="C213" s="66">
        <v>4381.67</v>
      </c>
      <c r="D213" s="66">
        <v>5135.91</v>
      </c>
      <c r="E213" s="66">
        <v>5760.58</v>
      </c>
      <c r="F213" s="66">
        <v>5900.15</v>
      </c>
      <c r="G213" s="66">
        <v>7577.68</v>
      </c>
      <c r="H213" s="67">
        <v>11642.22</v>
      </c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</row>
    <row r="214" spans="1:28" ht="12.75" customHeight="1">
      <c r="A214" s="71">
        <v>97.5</v>
      </c>
      <c r="B214" s="72">
        <v>4024.13</v>
      </c>
      <c r="C214" s="73">
        <v>4403.01</v>
      </c>
      <c r="D214" s="73">
        <v>5159.6899999999996</v>
      </c>
      <c r="E214" s="73">
        <v>5789.61</v>
      </c>
      <c r="F214" s="73">
        <v>5930.32</v>
      </c>
      <c r="G214" s="73">
        <v>7613.97</v>
      </c>
      <c r="H214" s="74">
        <v>11702.81</v>
      </c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</row>
    <row r="215" spans="1:28" ht="12.75" customHeight="1">
      <c r="A215" s="65">
        <v>98</v>
      </c>
      <c r="B215" s="75">
        <v>4045.53</v>
      </c>
      <c r="C215" s="66">
        <v>4424.3500000000004</v>
      </c>
      <c r="D215" s="66">
        <v>5183.47</v>
      </c>
      <c r="E215" s="66">
        <v>5818.64</v>
      </c>
      <c r="F215" s="66">
        <v>5960.5</v>
      </c>
      <c r="G215" s="66">
        <v>7650.25</v>
      </c>
      <c r="H215" s="67">
        <v>11763.41</v>
      </c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</row>
    <row r="216" spans="1:28" ht="12.75" customHeight="1">
      <c r="A216" s="71">
        <v>98.5</v>
      </c>
      <c r="B216" s="72">
        <v>4066.93</v>
      </c>
      <c r="C216" s="73">
        <v>4445.6899999999996</v>
      </c>
      <c r="D216" s="73">
        <v>5207.25</v>
      </c>
      <c r="E216" s="73">
        <v>5847.67</v>
      </c>
      <c r="F216" s="73">
        <v>5990.67</v>
      </c>
      <c r="G216" s="73">
        <v>7686.54</v>
      </c>
      <c r="H216" s="74">
        <v>11824.01</v>
      </c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</row>
    <row r="217" spans="1:28" ht="12.75" customHeight="1">
      <c r="A217" s="65">
        <v>99</v>
      </c>
      <c r="B217" s="75">
        <v>4088.34</v>
      </c>
      <c r="C217" s="66">
        <v>4467.03</v>
      </c>
      <c r="D217" s="66">
        <v>5231.03</v>
      </c>
      <c r="E217" s="66">
        <v>5876.69</v>
      </c>
      <c r="F217" s="66">
        <v>6020.85</v>
      </c>
      <c r="G217" s="66">
        <v>7722.82</v>
      </c>
      <c r="H217" s="67">
        <v>11884.61</v>
      </c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</row>
    <row r="218" spans="1:28" ht="12.75" customHeight="1">
      <c r="A218" s="71">
        <v>99.5</v>
      </c>
      <c r="B218" s="72">
        <v>4109.74</v>
      </c>
      <c r="C218" s="73">
        <v>4488.37</v>
      </c>
      <c r="D218" s="73">
        <v>5254.81</v>
      </c>
      <c r="E218" s="73">
        <v>5905.72</v>
      </c>
      <c r="F218" s="73">
        <v>6051.03</v>
      </c>
      <c r="G218" s="73">
        <v>7759.11</v>
      </c>
      <c r="H218" s="74">
        <v>11945.21</v>
      </c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</row>
    <row r="219" spans="1:28" ht="12.75" customHeight="1">
      <c r="A219" s="65">
        <v>100</v>
      </c>
      <c r="B219" s="75">
        <v>4131.1400000000003</v>
      </c>
      <c r="C219" s="66">
        <v>4509.71</v>
      </c>
      <c r="D219" s="66">
        <v>5278.59</v>
      </c>
      <c r="E219" s="66">
        <v>5934.75</v>
      </c>
      <c r="F219" s="66">
        <v>6081.2</v>
      </c>
      <c r="G219" s="66">
        <v>7795.39</v>
      </c>
      <c r="H219" s="67">
        <v>12005.8</v>
      </c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</row>
    <row r="220" spans="1:28" ht="12.75" customHeight="1">
      <c r="A220" s="71">
        <v>100.5</v>
      </c>
      <c r="B220" s="72">
        <v>4152.54</v>
      </c>
      <c r="C220" s="73">
        <v>4531.05</v>
      </c>
      <c r="D220" s="73">
        <v>5302.37</v>
      </c>
      <c r="E220" s="73">
        <v>5963.78</v>
      </c>
      <c r="F220" s="73">
        <v>6111.38</v>
      </c>
      <c r="G220" s="73">
        <v>7831.68</v>
      </c>
      <c r="H220" s="74">
        <v>12066.4</v>
      </c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</row>
    <row r="221" spans="1:28" ht="12.75" customHeight="1">
      <c r="A221" s="65">
        <v>101</v>
      </c>
      <c r="B221" s="75">
        <v>4173.9399999999996</v>
      </c>
      <c r="C221" s="66">
        <v>4552.3900000000003</v>
      </c>
      <c r="D221" s="66">
        <v>5326.15</v>
      </c>
      <c r="E221" s="66">
        <v>5992.81</v>
      </c>
      <c r="F221" s="66">
        <v>6141.55</v>
      </c>
      <c r="G221" s="66">
        <v>7867.96</v>
      </c>
      <c r="H221" s="67">
        <v>12127</v>
      </c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</row>
    <row r="222" spans="1:28" ht="12.75" customHeight="1">
      <c r="A222" s="71">
        <v>101.5</v>
      </c>
      <c r="B222" s="72">
        <v>4195.3500000000004</v>
      </c>
      <c r="C222" s="73">
        <v>4573.7299999999996</v>
      </c>
      <c r="D222" s="73">
        <v>5349.93</v>
      </c>
      <c r="E222" s="73">
        <v>6021.83</v>
      </c>
      <c r="F222" s="73">
        <v>6171.73</v>
      </c>
      <c r="G222" s="73">
        <v>7904.25</v>
      </c>
      <c r="H222" s="74">
        <v>12187.6</v>
      </c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</row>
    <row r="223" spans="1:28" ht="12.75" customHeight="1">
      <c r="A223" s="65">
        <v>102</v>
      </c>
      <c r="B223" s="75">
        <v>4216.75</v>
      </c>
      <c r="C223" s="66">
        <v>4595.08</v>
      </c>
      <c r="D223" s="66">
        <v>5373.71</v>
      </c>
      <c r="E223" s="66">
        <v>6050.86</v>
      </c>
      <c r="F223" s="66">
        <v>6201.91</v>
      </c>
      <c r="G223" s="66">
        <v>7940.53</v>
      </c>
      <c r="H223" s="67">
        <v>12248.2</v>
      </c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</row>
    <row r="224" spans="1:28" ht="12.75" customHeight="1">
      <c r="A224" s="71">
        <v>102.5</v>
      </c>
      <c r="B224" s="72">
        <v>4238.1499999999996</v>
      </c>
      <c r="C224" s="73">
        <v>4616.42</v>
      </c>
      <c r="D224" s="73">
        <v>5397.49</v>
      </c>
      <c r="E224" s="73">
        <v>6079.89</v>
      </c>
      <c r="F224" s="73">
        <v>6232.08</v>
      </c>
      <c r="G224" s="73">
        <v>7976.82</v>
      </c>
      <c r="H224" s="74">
        <v>12308.79</v>
      </c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</row>
    <row r="225" spans="1:28" ht="12.75" customHeight="1">
      <c r="A225" s="65">
        <v>103</v>
      </c>
      <c r="B225" s="75">
        <v>4259.55</v>
      </c>
      <c r="C225" s="66">
        <v>4637.76</v>
      </c>
      <c r="D225" s="66">
        <v>5421.27</v>
      </c>
      <c r="E225" s="66">
        <v>6108.92</v>
      </c>
      <c r="F225" s="66">
        <v>6262.26</v>
      </c>
      <c r="G225" s="66">
        <v>8013.1</v>
      </c>
      <c r="H225" s="67">
        <v>12369.39</v>
      </c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</row>
    <row r="226" spans="1:28" ht="12.75" customHeight="1">
      <c r="A226" s="71">
        <v>103.5</v>
      </c>
      <c r="B226" s="72">
        <v>4280.95</v>
      </c>
      <c r="C226" s="73">
        <v>4659.1000000000004</v>
      </c>
      <c r="D226" s="73">
        <v>5445.05</v>
      </c>
      <c r="E226" s="73">
        <v>6137.95</v>
      </c>
      <c r="F226" s="73">
        <v>6292.43</v>
      </c>
      <c r="G226" s="73">
        <v>8049.39</v>
      </c>
      <c r="H226" s="74">
        <v>12429.99</v>
      </c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</row>
    <row r="227" spans="1:28" ht="12.75" customHeight="1">
      <c r="A227" s="65">
        <v>104</v>
      </c>
      <c r="B227" s="75">
        <v>4302.3599999999997</v>
      </c>
      <c r="C227" s="66">
        <v>4680.4399999999996</v>
      </c>
      <c r="D227" s="66">
        <v>5468.83</v>
      </c>
      <c r="E227" s="66">
        <v>6166.97</v>
      </c>
      <c r="F227" s="66">
        <v>6322.61</v>
      </c>
      <c r="G227" s="66">
        <v>8085.67</v>
      </c>
      <c r="H227" s="67">
        <v>12490.59</v>
      </c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</row>
    <row r="228" spans="1:28" ht="12.75" customHeight="1">
      <c r="A228" s="71">
        <v>104.5</v>
      </c>
      <c r="B228" s="72">
        <v>4323.76</v>
      </c>
      <c r="C228" s="73">
        <v>4701.78</v>
      </c>
      <c r="D228" s="73">
        <v>5492.61</v>
      </c>
      <c r="E228" s="73">
        <v>6196</v>
      </c>
      <c r="F228" s="73">
        <v>6352.79</v>
      </c>
      <c r="G228" s="73">
        <v>8121.96</v>
      </c>
      <c r="H228" s="74">
        <v>12551.19</v>
      </c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</row>
    <row r="229" spans="1:28" ht="12.75" customHeight="1">
      <c r="A229" s="65">
        <v>105</v>
      </c>
      <c r="B229" s="75">
        <v>4345.16</v>
      </c>
      <c r="C229" s="66">
        <v>4723.12</v>
      </c>
      <c r="D229" s="66">
        <v>5516.39</v>
      </c>
      <c r="E229" s="66">
        <v>6225.03</v>
      </c>
      <c r="F229" s="66">
        <v>6382.96</v>
      </c>
      <c r="G229" s="66">
        <v>8158.24</v>
      </c>
      <c r="H229" s="67">
        <v>12611.78</v>
      </c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</row>
    <row r="230" spans="1:28" ht="12.75" customHeight="1">
      <c r="A230" s="71">
        <v>105.5</v>
      </c>
      <c r="B230" s="72">
        <v>4366.5600000000004</v>
      </c>
      <c r="C230" s="73">
        <v>4744.46</v>
      </c>
      <c r="D230" s="73">
        <v>5540.17</v>
      </c>
      <c r="E230" s="73">
        <v>6254.06</v>
      </c>
      <c r="F230" s="73">
        <v>6413.14</v>
      </c>
      <c r="G230" s="73">
        <v>8194.5300000000007</v>
      </c>
      <c r="H230" s="74">
        <v>12672.38</v>
      </c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</row>
    <row r="231" spans="1:28" ht="12.75" customHeight="1">
      <c r="A231" s="65">
        <v>106</v>
      </c>
      <c r="B231" s="75">
        <v>4387.96</v>
      </c>
      <c r="C231" s="66">
        <v>4765.8</v>
      </c>
      <c r="D231" s="66">
        <v>5563.95</v>
      </c>
      <c r="E231" s="66">
        <v>6283.09</v>
      </c>
      <c r="F231" s="66">
        <v>6443.31</v>
      </c>
      <c r="G231" s="66">
        <v>8230.81</v>
      </c>
      <c r="H231" s="67">
        <v>12732.98</v>
      </c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</row>
    <row r="232" spans="1:28" ht="12.75" customHeight="1">
      <c r="A232" s="71">
        <v>106.5</v>
      </c>
      <c r="B232" s="72">
        <v>4409.37</v>
      </c>
      <c r="C232" s="73">
        <v>4787.1400000000003</v>
      </c>
      <c r="D232" s="73">
        <v>5587.73</v>
      </c>
      <c r="E232" s="73">
        <v>6312.11</v>
      </c>
      <c r="F232" s="73">
        <v>6473.49</v>
      </c>
      <c r="G232" s="73">
        <v>8267.1</v>
      </c>
      <c r="H232" s="74">
        <v>12793.58</v>
      </c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</row>
    <row r="233" spans="1:28" ht="12.75" customHeight="1">
      <c r="A233" s="65">
        <v>107</v>
      </c>
      <c r="B233" s="75">
        <v>4430.7700000000004</v>
      </c>
      <c r="C233" s="66">
        <v>4808.4799999999996</v>
      </c>
      <c r="D233" s="66">
        <v>5611.51</v>
      </c>
      <c r="E233" s="66">
        <v>6341.14</v>
      </c>
      <c r="F233" s="66">
        <v>6503.67</v>
      </c>
      <c r="G233" s="66">
        <v>8303.3799999999992</v>
      </c>
      <c r="H233" s="67">
        <v>12854.18</v>
      </c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</row>
    <row r="234" spans="1:28" ht="12.75" customHeight="1">
      <c r="A234" s="71">
        <v>107.5</v>
      </c>
      <c r="B234" s="72">
        <v>4452.17</v>
      </c>
      <c r="C234" s="73">
        <v>4829.82</v>
      </c>
      <c r="D234" s="73">
        <v>5635.29</v>
      </c>
      <c r="E234" s="73">
        <v>6370.17</v>
      </c>
      <c r="F234" s="73">
        <v>6533.84</v>
      </c>
      <c r="G234" s="73">
        <v>8339.67</v>
      </c>
      <c r="H234" s="74">
        <v>12914.77</v>
      </c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</row>
    <row r="235" spans="1:28" ht="12.75" customHeight="1">
      <c r="A235" s="65">
        <v>108</v>
      </c>
      <c r="B235" s="75">
        <v>4473.57</v>
      </c>
      <c r="C235" s="66">
        <v>4851.16</v>
      </c>
      <c r="D235" s="66">
        <v>5659.07</v>
      </c>
      <c r="E235" s="66">
        <v>6399.2</v>
      </c>
      <c r="F235" s="66">
        <v>6564.02</v>
      </c>
      <c r="G235" s="66">
        <v>8375.9500000000007</v>
      </c>
      <c r="H235" s="67">
        <v>12975.37</v>
      </c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</row>
    <row r="236" spans="1:28" ht="12.75" customHeight="1">
      <c r="A236" s="71">
        <v>108.5</v>
      </c>
      <c r="B236" s="72">
        <v>4494.97</v>
      </c>
      <c r="C236" s="73">
        <v>4872.5</v>
      </c>
      <c r="D236" s="73">
        <v>5682.85</v>
      </c>
      <c r="E236" s="73">
        <v>6428.23</v>
      </c>
      <c r="F236" s="73">
        <v>6594.19</v>
      </c>
      <c r="G236" s="73">
        <v>8412.24</v>
      </c>
      <c r="H236" s="74">
        <v>13035.97</v>
      </c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</row>
    <row r="237" spans="1:28" ht="12.75" customHeight="1">
      <c r="A237" s="65">
        <v>109</v>
      </c>
      <c r="B237" s="75">
        <v>4516.38</v>
      </c>
      <c r="C237" s="66">
        <v>4893.84</v>
      </c>
      <c r="D237" s="66">
        <v>5706.63</v>
      </c>
      <c r="E237" s="66">
        <v>6457.25</v>
      </c>
      <c r="F237" s="66">
        <v>6624.37</v>
      </c>
      <c r="G237" s="66">
        <v>8448.52</v>
      </c>
      <c r="H237" s="67">
        <v>13096.57</v>
      </c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</row>
    <row r="238" spans="1:28" ht="12.75" customHeight="1">
      <c r="A238" s="71">
        <v>109.5</v>
      </c>
      <c r="B238" s="72">
        <v>4537.78</v>
      </c>
      <c r="C238" s="73">
        <v>4915.18</v>
      </c>
      <c r="D238" s="73">
        <v>5730.41</v>
      </c>
      <c r="E238" s="73">
        <v>6486.28</v>
      </c>
      <c r="F238" s="73">
        <v>6654.55</v>
      </c>
      <c r="G238" s="73">
        <v>8484.81</v>
      </c>
      <c r="H238" s="74">
        <v>13157.17</v>
      </c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</row>
    <row r="239" spans="1:28" ht="12.75" customHeight="1">
      <c r="A239" s="65">
        <v>110</v>
      </c>
      <c r="B239" s="75">
        <v>4559.18</v>
      </c>
      <c r="C239" s="66">
        <v>4936.5200000000004</v>
      </c>
      <c r="D239" s="66">
        <v>5754.19</v>
      </c>
      <c r="E239" s="66">
        <v>6515.31</v>
      </c>
      <c r="F239" s="66">
        <v>6684.72</v>
      </c>
      <c r="G239" s="66">
        <v>8521.09</v>
      </c>
      <c r="H239" s="67">
        <v>13217.76</v>
      </c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</row>
    <row r="240" spans="1:28" ht="12.75" customHeight="1">
      <c r="A240" s="71">
        <v>110.5</v>
      </c>
      <c r="B240" s="72">
        <v>4580.58</v>
      </c>
      <c r="C240" s="73">
        <v>4957.8599999999997</v>
      </c>
      <c r="D240" s="73">
        <v>5777.97</v>
      </c>
      <c r="E240" s="73">
        <v>6544.34</v>
      </c>
      <c r="F240" s="73">
        <v>6714.9</v>
      </c>
      <c r="G240" s="73">
        <v>8557.3799999999992</v>
      </c>
      <c r="H240" s="74">
        <v>13278.36</v>
      </c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</row>
    <row r="241" spans="1:28" ht="12.75" customHeight="1">
      <c r="A241" s="65">
        <v>111</v>
      </c>
      <c r="B241" s="75">
        <v>4601.9799999999996</v>
      </c>
      <c r="C241" s="66">
        <v>4979.2</v>
      </c>
      <c r="D241" s="66">
        <v>5801.75</v>
      </c>
      <c r="E241" s="66">
        <v>6573.37</v>
      </c>
      <c r="F241" s="66">
        <v>6745.07</v>
      </c>
      <c r="G241" s="66">
        <v>8593.66</v>
      </c>
      <c r="H241" s="67">
        <v>13338.96</v>
      </c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</row>
    <row r="242" spans="1:28" ht="12.75" customHeight="1">
      <c r="A242" s="71">
        <v>111.5</v>
      </c>
      <c r="B242" s="72">
        <v>4623.3900000000003</v>
      </c>
      <c r="C242" s="73">
        <v>5000.54</v>
      </c>
      <c r="D242" s="73">
        <v>5825.53</v>
      </c>
      <c r="E242" s="73">
        <v>6602.39</v>
      </c>
      <c r="F242" s="73">
        <v>6775.25</v>
      </c>
      <c r="G242" s="73">
        <v>8629.9500000000007</v>
      </c>
      <c r="H242" s="74">
        <v>13399.56</v>
      </c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</row>
    <row r="243" spans="1:28" ht="12.75" customHeight="1">
      <c r="A243" s="65">
        <v>112</v>
      </c>
      <c r="B243" s="75">
        <v>4644.79</v>
      </c>
      <c r="C243" s="66">
        <v>5021.8900000000003</v>
      </c>
      <c r="D243" s="66">
        <v>5849.31</v>
      </c>
      <c r="E243" s="66">
        <v>6631.42</v>
      </c>
      <c r="F243" s="66">
        <v>6805.43</v>
      </c>
      <c r="G243" s="66">
        <v>8666.23</v>
      </c>
      <c r="H243" s="67">
        <v>13460.16</v>
      </c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</row>
    <row r="244" spans="1:28" ht="12.75" customHeight="1">
      <c r="A244" s="71">
        <v>112.5</v>
      </c>
      <c r="B244" s="72">
        <v>4666.1899999999996</v>
      </c>
      <c r="C244" s="73">
        <v>5043.2299999999996</v>
      </c>
      <c r="D244" s="73">
        <v>5873.09</v>
      </c>
      <c r="E244" s="73">
        <v>6660.45</v>
      </c>
      <c r="F244" s="73">
        <v>6835.6</v>
      </c>
      <c r="G244" s="73">
        <v>8702.52</v>
      </c>
      <c r="H244" s="74">
        <v>13520.75</v>
      </c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</row>
    <row r="245" spans="1:28" ht="12.75" customHeight="1">
      <c r="A245" s="65">
        <v>113</v>
      </c>
      <c r="B245" s="75">
        <v>4687.59</v>
      </c>
      <c r="C245" s="66">
        <v>5064.57</v>
      </c>
      <c r="D245" s="66">
        <v>5896.87</v>
      </c>
      <c r="E245" s="66">
        <v>6689.48</v>
      </c>
      <c r="F245" s="66">
        <v>6865.78</v>
      </c>
      <c r="G245" s="66">
        <v>8738.7999999999993</v>
      </c>
      <c r="H245" s="67">
        <v>13581.35</v>
      </c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</row>
    <row r="246" spans="1:28" ht="12.75" customHeight="1">
      <c r="A246" s="71">
        <v>113.5</v>
      </c>
      <c r="B246" s="72">
        <v>4708.99</v>
      </c>
      <c r="C246" s="73">
        <v>5085.91</v>
      </c>
      <c r="D246" s="73">
        <v>5920.65</v>
      </c>
      <c r="E246" s="73">
        <v>6718.51</v>
      </c>
      <c r="F246" s="73">
        <v>6895.95</v>
      </c>
      <c r="G246" s="73">
        <v>8775.09</v>
      </c>
      <c r="H246" s="74">
        <v>13641.95</v>
      </c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</row>
    <row r="247" spans="1:28" ht="12.75" customHeight="1">
      <c r="A247" s="65">
        <v>114</v>
      </c>
      <c r="B247" s="75">
        <v>4730.3999999999996</v>
      </c>
      <c r="C247" s="66">
        <v>5107.25</v>
      </c>
      <c r="D247" s="66">
        <v>5944.43</v>
      </c>
      <c r="E247" s="66">
        <v>6747.53</v>
      </c>
      <c r="F247" s="66">
        <v>6926.13</v>
      </c>
      <c r="G247" s="66">
        <v>8811.3700000000008</v>
      </c>
      <c r="H247" s="67">
        <v>13702.55</v>
      </c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</row>
    <row r="248" spans="1:28" ht="12.75" customHeight="1">
      <c r="A248" s="71">
        <v>114.5</v>
      </c>
      <c r="B248" s="72">
        <v>4751.8</v>
      </c>
      <c r="C248" s="73">
        <v>5128.59</v>
      </c>
      <c r="D248" s="73">
        <v>5968.21</v>
      </c>
      <c r="E248" s="73">
        <v>6776.56</v>
      </c>
      <c r="F248" s="73">
        <v>6956.31</v>
      </c>
      <c r="G248" s="73">
        <v>8847.66</v>
      </c>
      <c r="H248" s="74">
        <v>13763.15</v>
      </c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</row>
    <row r="249" spans="1:28" ht="12.75" customHeight="1">
      <c r="A249" s="65">
        <v>115</v>
      </c>
      <c r="B249" s="75">
        <v>4773.2</v>
      </c>
      <c r="C249" s="66">
        <v>5149.93</v>
      </c>
      <c r="D249" s="66">
        <v>5991.99</v>
      </c>
      <c r="E249" s="66">
        <v>6805.59</v>
      </c>
      <c r="F249" s="66">
        <v>6986.48</v>
      </c>
      <c r="G249" s="66">
        <v>8883.94</v>
      </c>
      <c r="H249" s="67">
        <v>13823.74</v>
      </c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</row>
    <row r="250" spans="1:28" ht="12.75" customHeight="1">
      <c r="A250" s="71">
        <v>115.5</v>
      </c>
      <c r="B250" s="72">
        <v>4794.6000000000004</v>
      </c>
      <c r="C250" s="73">
        <v>5171.2700000000004</v>
      </c>
      <c r="D250" s="73">
        <v>6015.77</v>
      </c>
      <c r="E250" s="73">
        <v>6834.62</v>
      </c>
      <c r="F250" s="73">
        <v>7016.66</v>
      </c>
      <c r="G250" s="73">
        <v>8920.23</v>
      </c>
      <c r="H250" s="74">
        <v>13884.34</v>
      </c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</row>
    <row r="251" spans="1:28" ht="12.75" customHeight="1">
      <c r="A251" s="65">
        <v>116</v>
      </c>
      <c r="B251" s="75">
        <v>4816</v>
      </c>
      <c r="C251" s="66">
        <v>5192.6099999999997</v>
      </c>
      <c r="D251" s="66">
        <v>6039.55</v>
      </c>
      <c r="E251" s="66">
        <v>6863.65</v>
      </c>
      <c r="F251" s="66">
        <v>7046.83</v>
      </c>
      <c r="G251" s="66">
        <v>8956.51</v>
      </c>
      <c r="H251" s="67">
        <v>13944.94</v>
      </c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</row>
    <row r="252" spans="1:28" ht="12.75" customHeight="1">
      <c r="A252" s="71">
        <v>116.5</v>
      </c>
      <c r="B252" s="72">
        <v>4837.41</v>
      </c>
      <c r="C252" s="73">
        <v>5213.95</v>
      </c>
      <c r="D252" s="73">
        <v>6063.33</v>
      </c>
      <c r="E252" s="73">
        <v>6892.67</v>
      </c>
      <c r="F252" s="73">
        <v>7077.01</v>
      </c>
      <c r="G252" s="73">
        <v>8992.7999999999993</v>
      </c>
      <c r="H252" s="74">
        <v>14005.54</v>
      </c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</row>
    <row r="253" spans="1:28" ht="12.75" customHeight="1">
      <c r="A253" s="65">
        <v>117</v>
      </c>
      <c r="B253" s="75">
        <v>4858.8100000000004</v>
      </c>
      <c r="C253" s="66">
        <v>5235.29</v>
      </c>
      <c r="D253" s="66">
        <v>6087.11</v>
      </c>
      <c r="E253" s="66">
        <v>6921.7</v>
      </c>
      <c r="F253" s="66">
        <v>7107.19</v>
      </c>
      <c r="G253" s="66">
        <v>9029.08</v>
      </c>
      <c r="H253" s="67">
        <v>14066.14</v>
      </c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</row>
    <row r="254" spans="1:28" ht="12.75" customHeight="1">
      <c r="A254" s="71">
        <v>117.5</v>
      </c>
      <c r="B254" s="72">
        <v>4880.21</v>
      </c>
      <c r="C254" s="73">
        <v>5256.63</v>
      </c>
      <c r="D254" s="73">
        <v>6110.89</v>
      </c>
      <c r="E254" s="73">
        <v>6950.73</v>
      </c>
      <c r="F254" s="73">
        <v>7137.36</v>
      </c>
      <c r="G254" s="73">
        <v>9065.3700000000008</v>
      </c>
      <c r="H254" s="74">
        <v>14126.73</v>
      </c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</row>
    <row r="255" spans="1:28" ht="12.75" customHeight="1">
      <c r="A255" s="65">
        <v>118</v>
      </c>
      <c r="B255" s="75">
        <v>4901.6099999999997</v>
      </c>
      <c r="C255" s="66">
        <v>5277.97</v>
      </c>
      <c r="D255" s="66">
        <v>6134.67</v>
      </c>
      <c r="E255" s="66">
        <v>6979.76</v>
      </c>
      <c r="F255" s="66">
        <v>7167.54</v>
      </c>
      <c r="G255" s="66">
        <v>9101.65</v>
      </c>
      <c r="H255" s="67">
        <v>14187.33</v>
      </c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</row>
    <row r="256" spans="1:28" ht="12.75" customHeight="1">
      <c r="A256" s="71">
        <v>118.5</v>
      </c>
      <c r="B256" s="72">
        <v>4923.01</v>
      </c>
      <c r="C256" s="73">
        <v>5299.31</v>
      </c>
      <c r="D256" s="73">
        <v>6158.45</v>
      </c>
      <c r="E256" s="73">
        <v>7008.79</v>
      </c>
      <c r="F256" s="73">
        <v>7197.71</v>
      </c>
      <c r="G256" s="73">
        <v>9137.94</v>
      </c>
      <c r="H256" s="74">
        <v>14247.93</v>
      </c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</row>
    <row r="257" spans="1:28" ht="12.75" customHeight="1">
      <c r="A257" s="65">
        <v>119</v>
      </c>
      <c r="B257" s="75">
        <v>4944.42</v>
      </c>
      <c r="C257" s="66">
        <v>5320.65</v>
      </c>
      <c r="D257" s="66">
        <v>6182.23</v>
      </c>
      <c r="E257" s="66">
        <v>7037.81</v>
      </c>
      <c r="F257" s="66">
        <v>7227.89</v>
      </c>
      <c r="G257" s="66">
        <v>9174.2199999999993</v>
      </c>
      <c r="H257" s="67">
        <v>14308.53</v>
      </c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</row>
    <row r="258" spans="1:28" ht="12.75" customHeight="1">
      <c r="A258" s="71">
        <v>119.5</v>
      </c>
      <c r="B258" s="72">
        <v>4965.82</v>
      </c>
      <c r="C258" s="73">
        <v>5341.99</v>
      </c>
      <c r="D258" s="73">
        <v>6206.01</v>
      </c>
      <c r="E258" s="73">
        <v>7066.84</v>
      </c>
      <c r="F258" s="73">
        <v>7258.07</v>
      </c>
      <c r="G258" s="73">
        <v>9210.51</v>
      </c>
      <c r="H258" s="74">
        <v>14369.13</v>
      </c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</row>
    <row r="259" spans="1:28" ht="12.75" customHeight="1">
      <c r="A259" s="65">
        <v>120</v>
      </c>
      <c r="B259" s="75">
        <v>4987.22</v>
      </c>
      <c r="C259" s="66">
        <v>5363.33</v>
      </c>
      <c r="D259" s="66">
        <v>6229.79</v>
      </c>
      <c r="E259" s="66">
        <v>7095.87</v>
      </c>
      <c r="F259" s="66">
        <v>7288.24</v>
      </c>
      <c r="G259" s="66">
        <v>9246.7900000000009</v>
      </c>
      <c r="H259" s="67">
        <v>14429.72</v>
      </c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</row>
    <row r="260" spans="1:28" ht="12.75" customHeight="1">
      <c r="A260" s="71">
        <v>120.5</v>
      </c>
      <c r="B260" s="72">
        <v>5008.62</v>
      </c>
      <c r="C260" s="73">
        <v>5384.67</v>
      </c>
      <c r="D260" s="73">
        <v>6253.57</v>
      </c>
      <c r="E260" s="73">
        <v>7124.9</v>
      </c>
      <c r="F260" s="73">
        <v>7318.42</v>
      </c>
      <c r="G260" s="73">
        <v>9283.08</v>
      </c>
      <c r="H260" s="74">
        <v>14490.32</v>
      </c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</row>
    <row r="261" spans="1:28" ht="12.75" customHeight="1">
      <c r="A261" s="65">
        <v>121</v>
      </c>
      <c r="B261" s="75">
        <v>5030.0200000000004</v>
      </c>
      <c r="C261" s="66">
        <v>5406.01</v>
      </c>
      <c r="D261" s="66">
        <v>6277.35</v>
      </c>
      <c r="E261" s="66">
        <v>7153.93</v>
      </c>
      <c r="F261" s="66">
        <v>7348.59</v>
      </c>
      <c r="G261" s="66">
        <v>9319.36</v>
      </c>
      <c r="H261" s="67">
        <v>14550.92</v>
      </c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</row>
    <row r="262" spans="1:28" ht="12.75" customHeight="1">
      <c r="A262" s="71">
        <v>121.5</v>
      </c>
      <c r="B262" s="72">
        <v>5051.43</v>
      </c>
      <c r="C262" s="73">
        <v>5427.35</v>
      </c>
      <c r="D262" s="73">
        <v>6301.13</v>
      </c>
      <c r="E262" s="73">
        <v>7182.95</v>
      </c>
      <c r="F262" s="73">
        <v>7378.77</v>
      </c>
      <c r="G262" s="73">
        <v>9355.65</v>
      </c>
      <c r="H262" s="74">
        <v>14611.52</v>
      </c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</row>
    <row r="263" spans="1:28" ht="12.75" customHeight="1">
      <c r="A263" s="65">
        <v>122</v>
      </c>
      <c r="B263" s="75">
        <v>5072.83</v>
      </c>
      <c r="C263" s="66">
        <v>5448.7</v>
      </c>
      <c r="D263" s="66">
        <v>6324.91</v>
      </c>
      <c r="E263" s="66">
        <v>7211.98</v>
      </c>
      <c r="F263" s="66">
        <v>7408.95</v>
      </c>
      <c r="G263" s="66">
        <v>9391.93</v>
      </c>
      <c r="H263" s="67">
        <v>14672.12</v>
      </c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</row>
    <row r="264" spans="1:28" ht="12.75" customHeight="1">
      <c r="A264" s="71">
        <v>122.5</v>
      </c>
      <c r="B264" s="72">
        <v>5094.2299999999996</v>
      </c>
      <c r="C264" s="73">
        <v>5470.04</v>
      </c>
      <c r="D264" s="73">
        <v>6348.69</v>
      </c>
      <c r="E264" s="73">
        <v>7241.01</v>
      </c>
      <c r="F264" s="73">
        <v>7439.12</v>
      </c>
      <c r="G264" s="73">
        <v>9428.2199999999993</v>
      </c>
      <c r="H264" s="74">
        <v>14732.71</v>
      </c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</row>
    <row r="265" spans="1:28" ht="12.75" customHeight="1">
      <c r="A265" s="65">
        <v>123</v>
      </c>
      <c r="B265" s="75">
        <v>5115.63</v>
      </c>
      <c r="C265" s="66">
        <v>5491.38</v>
      </c>
      <c r="D265" s="66">
        <v>6372.47</v>
      </c>
      <c r="E265" s="66">
        <v>7270.04</v>
      </c>
      <c r="F265" s="66">
        <v>7469.3</v>
      </c>
      <c r="G265" s="66">
        <v>9464.5</v>
      </c>
      <c r="H265" s="67">
        <v>14793.31</v>
      </c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</row>
    <row r="266" spans="1:28" ht="12.75" customHeight="1">
      <c r="A266" s="71">
        <v>123.5</v>
      </c>
      <c r="B266" s="72">
        <v>5137.03</v>
      </c>
      <c r="C266" s="73">
        <v>5512.72</v>
      </c>
      <c r="D266" s="73">
        <v>6396.25</v>
      </c>
      <c r="E266" s="73">
        <v>7299.07</v>
      </c>
      <c r="F266" s="73">
        <v>7499.47</v>
      </c>
      <c r="G266" s="73">
        <v>9500.7900000000009</v>
      </c>
      <c r="H266" s="74">
        <v>14853.91</v>
      </c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</row>
    <row r="267" spans="1:28" ht="12.75" customHeight="1">
      <c r="A267" s="65">
        <v>124</v>
      </c>
      <c r="B267" s="75">
        <v>5158.4399999999996</v>
      </c>
      <c r="C267" s="66">
        <v>5534.06</v>
      </c>
      <c r="D267" s="66">
        <v>6420.03</v>
      </c>
      <c r="E267" s="66">
        <v>7328.09</v>
      </c>
      <c r="F267" s="66">
        <v>7529.65</v>
      </c>
      <c r="G267" s="66">
        <v>9537.07</v>
      </c>
      <c r="H267" s="67">
        <v>14914.51</v>
      </c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</row>
    <row r="268" spans="1:28" ht="12.75" customHeight="1">
      <c r="A268" s="71">
        <v>124.5</v>
      </c>
      <c r="B268" s="72">
        <v>5179.84</v>
      </c>
      <c r="C268" s="73">
        <v>5555.4</v>
      </c>
      <c r="D268" s="73">
        <v>6443.81</v>
      </c>
      <c r="E268" s="73">
        <v>7357.12</v>
      </c>
      <c r="F268" s="73">
        <v>7559.83</v>
      </c>
      <c r="G268" s="73">
        <v>9573.36</v>
      </c>
      <c r="H268" s="74">
        <v>14975.11</v>
      </c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</row>
    <row r="269" spans="1:28" ht="12.75" customHeight="1">
      <c r="A269" s="65">
        <v>125</v>
      </c>
      <c r="B269" s="75">
        <v>5201.24</v>
      </c>
      <c r="C269" s="66">
        <v>5576.74</v>
      </c>
      <c r="D269" s="66">
        <v>6467.59</v>
      </c>
      <c r="E269" s="66">
        <v>7386.15</v>
      </c>
      <c r="F269" s="66">
        <v>7590</v>
      </c>
      <c r="G269" s="66">
        <v>9609.64</v>
      </c>
      <c r="H269" s="67">
        <v>15035.7</v>
      </c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</row>
    <row r="270" spans="1:28" ht="12.75" customHeight="1">
      <c r="A270" s="71">
        <v>125.5</v>
      </c>
      <c r="B270" s="72">
        <v>5222.6400000000003</v>
      </c>
      <c r="C270" s="73">
        <v>5598.08</v>
      </c>
      <c r="D270" s="73">
        <v>6491.37</v>
      </c>
      <c r="E270" s="73">
        <v>7415.18</v>
      </c>
      <c r="F270" s="73">
        <v>7620.18</v>
      </c>
      <c r="G270" s="73">
        <v>9645.93</v>
      </c>
      <c r="H270" s="74">
        <v>15096.3</v>
      </c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</row>
    <row r="271" spans="1:28" ht="12.75" customHeight="1">
      <c r="A271" s="65">
        <v>126</v>
      </c>
      <c r="B271" s="75">
        <v>5244.04</v>
      </c>
      <c r="C271" s="66">
        <v>5619.42</v>
      </c>
      <c r="D271" s="66">
        <v>6515.15</v>
      </c>
      <c r="E271" s="66">
        <v>7444.21</v>
      </c>
      <c r="F271" s="66">
        <v>7650.35</v>
      </c>
      <c r="G271" s="66">
        <v>9682.2099999999991</v>
      </c>
      <c r="H271" s="67">
        <v>15156.9</v>
      </c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</row>
    <row r="272" spans="1:28" ht="12.75" customHeight="1">
      <c r="A272" s="71">
        <v>126.5</v>
      </c>
      <c r="B272" s="72">
        <v>5265.45</v>
      </c>
      <c r="C272" s="73">
        <v>5640.76</v>
      </c>
      <c r="D272" s="73">
        <v>6538.93</v>
      </c>
      <c r="E272" s="73">
        <v>7473.23</v>
      </c>
      <c r="F272" s="73">
        <v>7680.53</v>
      </c>
      <c r="G272" s="73">
        <v>9718.5</v>
      </c>
      <c r="H272" s="74">
        <v>15217.5</v>
      </c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</row>
    <row r="273" spans="1:28" ht="12.75" customHeight="1">
      <c r="A273" s="65">
        <v>127</v>
      </c>
      <c r="B273" s="75">
        <v>5286.85</v>
      </c>
      <c r="C273" s="66">
        <v>5662.1</v>
      </c>
      <c r="D273" s="66">
        <v>6562.71</v>
      </c>
      <c r="E273" s="66">
        <v>7502.26</v>
      </c>
      <c r="F273" s="66">
        <v>7710.71</v>
      </c>
      <c r="G273" s="66">
        <v>9754.7800000000007</v>
      </c>
      <c r="H273" s="67">
        <v>15278.1</v>
      </c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</row>
    <row r="274" spans="1:28" ht="12.75" customHeight="1">
      <c r="A274" s="71">
        <v>127.5</v>
      </c>
      <c r="B274" s="72">
        <v>5308.25</v>
      </c>
      <c r="C274" s="73">
        <v>5683.44</v>
      </c>
      <c r="D274" s="73">
        <v>6586.49</v>
      </c>
      <c r="E274" s="73">
        <v>7531.29</v>
      </c>
      <c r="F274" s="73">
        <v>7740.88</v>
      </c>
      <c r="G274" s="73">
        <v>9791.07</v>
      </c>
      <c r="H274" s="74">
        <v>15338.69</v>
      </c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</row>
    <row r="275" spans="1:28" ht="12.75" customHeight="1">
      <c r="A275" s="65">
        <v>128</v>
      </c>
      <c r="B275" s="75">
        <v>5329.65</v>
      </c>
      <c r="C275" s="66">
        <v>5704.78</v>
      </c>
      <c r="D275" s="66">
        <v>6610.27</v>
      </c>
      <c r="E275" s="66">
        <v>7560.32</v>
      </c>
      <c r="F275" s="66">
        <v>7771.06</v>
      </c>
      <c r="G275" s="66">
        <v>9827.35</v>
      </c>
      <c r="H275" s="67">
        <v>15399.29</v>
      </c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</row>
    <row r="276" spans="1:28" ht="12.75" customHeight="1">
      <c r="A276" s="71">
        <v>128.5</v>
      </c>
      <c r="B276" s="72">
        <v>5351.05</v>
      </c>
      <c r="C276" s="73">
        <v>5726.12</v>
      </c>
      <c r="D276" s="73">
        <v>6634.05</v>
      </c>
      <c r="E276" s="73">
        <v>7589.35</v>
      </c>
      <c r="F276" s="73">
        <v>7801.23</v>
      </c>
      <c r="G276" s="73">
        <v>9863.64</v>
      </c>
      <c r="H276" s="74">
        <v>15459.89</v>
      </c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</row>
    <row r="277" spans="1:28" ht="12.75" customHeight="1">
      <c r="A277" s="65">
        <v>129</v>
      </c>
      <c r="B277" s="75">
        <v>5372.46</v>
      </c>
      <c r="C277" s="66">
        <v>5747.46</v>
      </c>
      <c r="D277" s="66">
        <v>6657.83</v>
      </c>
      <c r="E277" s="66">
        <v>7618.37</v>
      </c>
      <c r="F277" s="66">
        <v>7831.41</v>
      </c>
      <c r="G277" s="66">
        <v>9899.92</v>
      </c>
      <c r="H277" s="67">
        <v>15520.49</v>
      </c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</row>
    <row r="278" spans="1:28" ht="12.75" customHeight="1">
      <c r="A278" s="71">
        <v>129.5</v>
      </c>
      <c r="B278" s="72">
        <v>5393.86</v>
      </c>
      <c r="C278" s="73">
        <v>5768.8</v>
      </c>
      <c r="D278" s="73">
        <v>6681.61</v>
      </c>
      <c r="E278" s="73">
        <v>7647.4</v>
      </c>
      <c r="F278" s="73">
        <v>7861.59</v>
      </c>
      <c r="G278" s="73">
        <v>9936.2099999999991</v>
      </c>
      <c r="H278" s="74">
        <v>15581.09</v>
      </c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</row>
    <row r="279" spans="1:28" ht="12.75" customHeight="1">
      <c r="A279" s="65">
        <v>130</v>
      </c>
      <c r="B279" s="75">
        <v>5415.26</v>
      </c>
      <c r="C279" s="66">
        <v>5790.14</v>
      </c>
      <c r="D279" s="66">
        <v>6705.39</v>
      </c>
      <c r="E279" s="66">
        <v>7676.43</v>
      </c>
      <c r="F279" s="66">
        <v>7891.76</v>
      </c>
      <c r="G279" s="66">
        <v>9972.49</v>
      </c>
      <c r="H279" s="67">
        <v>15641.68</v>
      </c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</row>
    <row r="280" spans="1:28" ht="12.75" customHeight="1">
      <c r="A280" s="71">
        <v>130.5</v>
      </c>
      <c r="B280" s="72">
        <v>5436.66</v>
      </c>
      <c r="C280" s="73">
        <v>5811.48</v>
      </c>
      <c r="D280" s="73">
        <v>6729.17</v>
      </c>
      <c r="E280" s="73">
        <v>7705.46</v>
      </c>
      <c r="F280" s="73">
        <v>7921.94</v>
      </c>
      <c r="G280" s="73">
        <v>10008.780000000001</v>
      </c>
      <c r="H280" s="74">
        <v>15702.28</v>
      </c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</row>
    <row r="281" spans="1:28" ht="12.75" customHeight="1">
      <c r="A281" s="65">
        <v>131</v>
      </c>
      <c r="B281" s="75">
        <v>5458.06</v>
      </c>
      <c r="C281" s="66">
        <v>5832.82</v>
      </c>
      <c r="D281" s="66">
        <v>6752.95</v>
      </c>
      <c r="E281" s="66">
        <v>7734.49</v>
      </c>
      <c r="F281" s="66">
        <v>7952.11</v>
      </c>
      <c r="G281" s="66">
        <v>10045.06</v>
      </c>
      <c r="H281" s="67">
        <v>15762.88</v>
      </c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</row>
    <row r="282" spans="1:28" ht="12.75" customHeight="1">
      <c r="A282" s="71">
        <v>131.5</v>
      </c>
      <c r="B282" s="72">
        <v>5479.47</v>
      </c>
      <c r="C282" s="73">
        <v>5854.16</v>
      </c>
      <c r="D282" s="73">
        <v>6776.73</v>
      </c>
      <c r="E282" s="73">
        <v>7763.51</v>
      </c>
      <c r="F282" s="73">
        <v>7982.29</v>
      </c>
      <c r="G282" s="73">
        <v>10081.35</v>
      </c>
      <c r="H282" s="74">
        <v>15823.48</v>
      </c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</row>
    <row r="283" spans="1:28" ht="12.75" customHeight="1">
      <c r="A283" s="65">
        <v>132</v>
      </c>
      <c r="B283" s="75">
        <v>5500.87</v>
      </c>
      <c r="C283" s="66">
        <v>5875.51</v>
      </c>
      <c r="D283" s="66">
        <v>6800.51</v>
      </c>
      <c r="E283" s="66">
        <v>7792.54</v>
      </c>
      <c r="F283" s="66">
        <v>8012.47</v>
      </c>
      <c r="G283" s="66">
        <v>10117.629999999999</v>
      </c>
      <c r="H283" s="67">
        <v>15884.08</v>
      </c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</row>
    <row r="284" spans="1:28" ht="12.75" customHeight="1">
      <c r="A284" s="71">
        <v>132.5</v>
      </c>
      <c r="B284" s="72">
        <v>5522.27</v>
      </c>
      <c r="C284" s="73">
        <v>5896.85</v>
      </c>
      <c r="D284" s="73">
        <v>6824.29</v>
      </c>
      <c r="E284" s="73">
        <v>7821.57</v>
      </c>
      <c r="F284" s="73">
        <v>8042.64</v>
      </c>
      <c r="G284" s="73">
        <v>10153.92</v>
      </c>
      <c r="H284" s="74">
        <v>15944.67</v>
      </c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</row>
    <row r="285" spans="1:28" ht="12.75" customHeight="1">
      <c r="A285" s="65">
        <v>133</v>
      </c>
      <c r="B285" s="75">
        <v>5543.67</v>
      </c>
      <c r="C285" s="66">
        <v>5918.19</v>
      </c>
      <c r="D285" s="66">
        <v>6848.07</v>
      </c>
      <c r="E285" s="66">
        <v>7850.6</v>
      </c>
      <c r="F285" s="66">
        <v>8072.82</v>
      </c>
      <c r="G285" s="66">
        <v>10190.200000000001</v>
      </c>
      <c r="H285" s="67">
        <v>16005.27</v>
      </c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</row>
    <row r="286" spans="1:28" ht="12.75" customHeight="1">
      <c r="A286" s="71">
        <v>133.5</v>
      </c>
      <c r="B286" s="72">
        <v>5565.07</v>
      </c>
      <c r="C286" s="73">
        <v>5939.53</v>
      </c>
      <c r="D286" s="73">
        <v>6871.85</v>
      </c>
      <c r="E286" s="73">
        <v>7879.63</v>
      </c>
      <c r="F286" s="73">
        <v>8102.99</v>
      </c>
      <c r="G286" s="73">
        <v>10226.49</v>
      </c>
      <c r="H286" s="74">
        <v>16065.87</v>
      </c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</row>
    <row r="287" spans="1:28" ht="12.75" customHeight="1">
      <c r="A287" s="65">
        <v>134</v>
      </c>
      <c r="B287" s="75">
        <v>5586.48</v>
      </c>
      <c r="C287" s="66">
        <v>5960.87</v>
      </c>
      <c r="D287" s="66">
        <v>6895.63</v>
      </c>
      <c r="E287" s="66">
        <v>7908.65</v>
      </c>
      <c r="F287" s="66">
        <v>8133.17</v>
      </c>
      <c r="G287" s="66">
        <v>10262.77</v>
      </c>
      <c r="H287" s="67">
        <v>16126.47</v>
      </c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</row>
    <row r="288" spans="1:28" ht="12.75" customHeight="1">
      <c r="A288" s="71">
        <v>134.5</v>
      </c>
      <c r="B288" s="72">
        <v>5607.88</v>
      </c>
      <c r="C288" s="73">
        <v>5982.21</v>
      </c>
      <c r="D288" s="73">
        <v>6919.41</v>
      </c>
      <c r="E288" s="73">
        <v>7937.68</v>
      </c>
      <c r="F288" s="73">
        <v>8163.35</v>
      </c>
      <c r="G288" s="73">
        <v>10299.06</v>
      </c>
      <c r="H288" s="74">
        <v>16187.07</v>
      </c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</row>
    <row r="289" spans="1:28" ht="12.75" customHeight="1">
      <c r="A289" s="65">
        <v>135</v>
      </c>
      <c r="B289" s="75">
        <v>5629.28</v>
      </c>
      <c r="C289" s="66">
        <v>6003.55</v>
      </c>
      <c r="D289" s="66">
        <v>6943.19</v>
      </c>
      <c r="E289" s="66">
        <v>7966.71</v>
      </c>
      <c r="F289" s="66">
        <v>8193.52</v>
      </c>
      <c r="G289" s="66">
        <v>10335.34</v>
      </c>
      <c r="H289" s="67">
        <v>16247.66</v>
      </c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</row>
    <row r="290" spans="1:28" ht="12.75" customHeight="1">
      <c r="A290" s="71">
        <v>135.5</v>
      </c>
      <c r="B290" s="72">
        <v>5650.68</v>
      </c>
      <c r="C290" s="73">
        <v>6024.89</v>
      </c>
      <c r="D290" s="73">
        <v>6966.97</v>
      </c>
      <c r="E290" s="73">
        <v>7995.74</v>
      </c>
      <c r="F290" s="73">
        <v>8223.7000000000007</v>
      </c>
      <c r="G290" s="73">
        <v>10371.629999999999</v>
      </c>
      <c r="H290" s="74">
        <v>16308.26</v>
      </c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</row>
    <row r="291" spans="1:28" ht="12.75" customHeight="1">
      <c r="A291" s="65">
        <v>136</v>
      </c>
      <c r="B291" s="75">
        <v>5672.08</v>
      </c>
      <c r="C291" s="66">
        <v>6046.23</v>
      </c>
      <c r="D291" s="66">
        <v>6990.75</v>
      </c>
      <c r="E291" s="66">
        <v>8024.77</v>
      </c>
      <c r="F291" s="66">
        <v>8253.8700000000008</v>
      </c>
      <c r="G291" s="66">
        <v>10407.91</v>
      </c>
      <c r="H291" s="67">
        <v>16368.86</v>
      </c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</row>
    <row r="292" spans="1:28" ht="12.75" customHeight="1">
      <c r="A292" s="71">
        <v>136.5</v>
      </c>
      <c r="B292" s="72">
        <v>5693.49</v>
      </c>
      <c r="C292" s="73">
        <v>6067.57</v>
      </c>
      <c r="D292" s="73">
        <v>7014.53</v>
      </c>
      <c r="E292" s="73">
        <v>8053.79</v>
      </c>
      <c r="F292" s="73">
        <v>8284.0499999999993</v>
      </c>
      <c r="G292" s="73">
        <v>10444.200000000001</v>
      </c>
      <c r="H292" s="74">
        <v>16429.46</v>
      </c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</row>
    <row r="293" spans="1:28" ht="12.75" customHeight="1">
      <c r="A293" s="65">
        <v>137</v>
      </c>
      <c r="B293" s="75">
        <v>5714.89</v>
      </c>
      <c r="C293" s="66">
        <v>6088.91</v>
      </c>
      <c r="D293" s="66">
        <v>7038.31</v>
      </c>
      <c r="E293" s="66">
        <v>8082.82</v>
      </c>
      <c r="F293" s="66">
        <v>8314.23</v>
      </c>
      <c r="G293" s="66">
        <v>10480.48</v>
      </c>
      <c r="H293" s="67">
        <v>16490.060000000001</v>
      </c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</row>
    <row r="294" spans="1:28" ht="12.75" customHeight="1">
      <c r="A294" s="71">
        <v>137.5</v>
      </c>
      <c r="B294" s="72">
        <v>5736.29</v>
      </c>
      <c r="C294" s="73">
        <v>6110.25</v>
      </c>
      <c r="D294" s="73">
        <v>7062.09</v>
      </c>
      <c r="E294" s="73">
        <v>8111.85</v>
      </c>
      <c r="F294" s="73">
        <v>8344.4</v>
      </c>
      <c r="G294" s="73">
        <v>10516.77</v>
      </c>
      <c r="H294" s="74">
        <v>16550.650000000001</v>
      </c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</row>
    <row r="295" spans="1:28" ht="12.75" customHeight="1">
      <c r="A295" s="65">
        <v>138</v>
      </c>
      <c r="B295" s="75">
        <v>5757.69</v>
      </c>
      <c r="C295" s="66">
        <v>6131.59</v>
      </c>
      <c r="D295" s="66">
        <v>7085.87</v>
      </c>
      <c r="E295" s="66">
        <v>8140.88</v>
      </c>
      <c r="F295" s="66">
        <v>8374.58</v>
      </c>
      <c r="G295" s="66">
        <v>10553.05</v>
      </c>
      <c r="H295" s="67">
        <v>16611.25</v>
      </c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</row>
    <row r="296" spans="1:28" ht="12.75" customHeight="1">
      <c r="A296" s="71">
        <v>138.5</v>
      </c>
      <c r="B296" s="72">
        <v>5779.09</v>
      </c>
      <c r="C296" s="73">
        <v>6152.93</v>
      </c>
      <c r="D296" s="73">
        <v>7109.65</v>
      </c>
      <c r="E296" s="73">
        <v>8169.91</v>
      </c>
      <c r="F296" s="73">
        <v>8404.75</v>
      </c>
      <c r="G296" s="73">
        <v>10589.34</v>
      </c>
      <c r="H296" s="74">
        <v>16671.849999999999</v>
      </c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</row>
    <row r="297" spans="1:28" ht="12.75" customHeight="1">
      <c r="A297" s="65">
        <v>139</v>
      </c>
      <c r="B297" s="75">
        <v>5800.5</v>
      </c>
      <c r="C297" s="66">
        <v>6174.27</v>
      </c>
      <c r="D297" s="66">
        <v>7133.43</v>
      </c>
      <c r="E297" s="66">
        <v>8198.93</v>
      </c>
      <c r="F297" s="66">
        <v>8434.93</v>
      </c>
      <c r="G297" s="66">
        <v>10625.62</v>
      </c>
      <c r="H297" s="67">
        <v>16732.45</v>
      </c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</row>
    <row r="298" spans="1:28" ht="12.75" customHeight="1">
      <c r="A298" s="71">
        <v>139.5</v>
      </c>
      <c r="B298" s="72">
        <v>5821.9</v>
      </c>
      <c r="C298" s="73">
        <v>6195.61</v>
      </c>
      <c r="D298" s="73">
        <v>7157.21</v>
      </c>
      <c r="E298" s="73">
        <v>8227.9599999999991</v>
      </c>
      <c r="F298" s="73">
        <v>8465.11</v>
      </c>
      <c r="G298" s="73">
        <v>10661.91</v>
      </c>
      <c r="H298" s="74">
        <v>16793.05</v>
      </c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  <c r="AB298" s="48"/>
    </row>
    <row r="299" spans="1:28" ht="12.75" customHeight="1">
      <c r="A299" s="65">
        <v>140</v>
      </c>
      <c r="B299" s="75">
        <v>5843.3</v>
      </c>
      <c r="C299" s="66">
        <v>6216.95</v>
      </c>
      <c r="D299" s="66">
        <v>7180.99</v>
      </c>
      <c r="E299" s="66">
        <v>8256.99</v>
      </c>
      <c r="F299" s="66">
        <v>8495.2800000000007</v>
      </c>
      <c r="G299" s="66">
        <v>10698.19</v>
      </c>
      <c r="H299" s="67">
        <v>16853.64</v>
      </c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  <c r="AB299" s="48"/>
    </row>
    <row r="300" spans="1:28" ht="12.75" customHeight="1">
      <c r="A300" s="71">
        <v>140.5</v>
      </c>
      <c r="B300" s="72">
        <v>5864.7</v>
      </c>
      <c r="C300" s="73">
        <v>6238.29</v>
      </c>
      <c r="D300" s="73">
        <v>7204.77</v>
      </c>
      <c r="E300" s="73">
        <v>8286.02</v>
      </c>
      <c r="F300" s="73">
        <v>8525.4599999999991</v>
      </c>
      <c r="G300" s="73">
        <v>10734.48</v>
      </c>
      <c r="H300" s="74">
        <v>16914.240000000002</v>
      </c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  <c r="AB300" s="48"/>
    </row>
    <row r="301" spans="1:28" ht="12.75" customHeight="1">
      <c r="A301" s="65">
        <v>141</v>
      </c>
      <c r="B301" s="75">
        <v>5886.1</v>
      </c>
      <c r="C301" s="66">
        <v>6259.63</v>
      </c>
      <c r="D301" s="66">
        <v>7228.55</v>
      </c>
      <c r="E301" s="66">
        <v>8315.0499999999993</v>
      </c>
      <c r="F301" s="66">
        <v>8555.6299999999992</v>
      </c>
      <c r="G301" s="66">
        <v>10770.76</v>
      </c>
      <c r="H301" s="67">
        <v>16974.84</v>
      </c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  <c r="AB301" s="48"/>
    </row>
    <row r="302" spans="1:28" ht="12.75" customHeight="1">
      <c r="A302" s="71">
        <v>141.5</v>
      </c>
      <c r="B302" s="72">
        <v>5907.51</v>
      </c>
      <c r="C302" s="73">
        <v>6280.97</v>
      </c>
      <c r="D302" s="73">
        <v>7252.33</v>
      </c>
      <c r="E302" s="73">
        <v>8344.07</v>
      </c>
      <c r="F302" s="73">
        <v>8585.81</v>
      </c>
      <c r="G302" s="73">
        <v>10807.05</v>
      </c>
      <c r="H302" s="74">
        <v>17035.439999999999</v>
      </c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48"/>
    </row>
    <row r="303" spans="1:28" ht="12.75" customHeight="1">
      <c r="A303" s="65">
        <v>142</v>
      </c>
      <c r="B303" s="75">
        <v>5928.91</v>
      </c>
      <c r="C303" s="66">
        <v>6302.32</v>
      </c>
      <c r="D303" s="66">
        <v>7276.11</v>
      </c>
      <c r="E303" s="66">
        <v>8373.1</v>
      </c>
      <c r="F303" s="66">
        <v>8615.99</v>
      </c>
      <c r="G303" s="66">
        <v>10843.33</v>
      </c>
      <c r="H303" s="67">
        <v>17096.04</v>
      </c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  <c r="AB303" s="48"/>
    </row>
    <row r="304" spans="1:28" ht="12.75" customHeight="1">
      <c r="A304" s="71">
        <v>142.5</v>
      </c>
      <c r="B304" s="72">
        <v>5950.31</v>
      </c>
      <c r="C304" s="73">
        <v>6323.66</v>
      </c>
      <c r="D304" s="73">
        <v>7299.89</v>
      </c>
      <c r="E304" s="73">
        <v>8402.1299999999992</v>
      </c>
      <c r="F304" s="73">
        <v>8646.16</v>
      </c>
      <c r="G304" s="73">
        <v>10879.62</v>
      </c>
      <c r="H304" s="74">
        <v>17156.63</v>
      </c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  <c r="AB304" s="48"/>
    </row>
    <row r="305" spans="1:28" ht="12.75" customHeight="1">
      <c r="A305" s="65">
        <v>143</v>
      </c>
      <c r="B305" s="75">
        <v>5971.71</v>
      </c>
      <c r="C305" s="66">
        <v>6345</v>
      </c>
      <c r="D305" s="66">
        <v>7323.67</v>
      </c>
      <c r="E305" s="66">
        <v>8431.16</v>
      </c>
      <c r="F305" s="66">
        <v>8676.34</v>
      </c>
      <c r="G305" s="66">
        <v>10915.9</v>
      </c>
      <c r="H305" s="67">
        <v>17217.23</v>
      </c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  <c r="AB305" s="48"/>
    </row>
    <row r="306" spans="1:28" ht="12.75" customHeight="1">
      <c r="A306" s="71">
        <v>143.5</v>
      </c>
      <c r="B306" s="72">
        <v>5993.11</v>
      </c>
      <c r="C306" s="73">
        <v>6366.34</v>
      </c>
      <c r="D306" s="73">
        <v>7347.45</v>
      </c>
      <c r="E306" s="73">
        <v>8460.19</v>
      </c>
      <c r="F306" s="73">
        <v>8706.51</v>
      </c>
      <c r="G306" s="73">
        <v>10952.19</v>
      </c>
      <c r="H306" s="74">
        <v>17277.830000000002</v>
      </c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  <c r="AB306" s="48"/>
    </row>
    <row r="307" spans="1:28" ht="12.75" customHeight="1">
      <c r="A307" s="65">
        <v>144</v>
      </c>
      <c r="B307" s="75">
        <v>6014.52</v>
      </c>
      <c r="C307" s="66">
        <v>6387.68</v>
      </c>
      <c r="D307" s="66">
        <v>7371.23</v>
      </c>
      <c r="E307" s="66">
        <v>8489.2099999999991</v>
      </c>
      <c r="F307" s="66">
        <v>8736.69</v>
      </c>
      <c r="G307" s="66">
        <v>10988.47</v>
      </c>
      <c r="H307" s="67">
        <v>17338.43</v>
      </c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48"/>
    </row>
    <row r="308" spans="1:28" ht="12.75" customHeight="1">
      <c r="A308" s="71">
        <v>144.5</v>
      </c>
      <c r="B308" s="72">
        <v>6035.92</v>
      </c>
      <c r="C308" s="73">
        <v>6409.02</v>
      </c>
      <c r="D308" s="73">
        <v>7395.01</v>
      </c>
      <c r="E308" s="73">
        <v>8518.24</v>
      </c>
      <c r="F308" s="73">
        <v>8766.8700000000008</v>
      </c>
      <c r="G308" s="73">
        <v>11024.76</v>
      </c>
      <c r="H308" s="74">
        <v>17399.03</v>
      </c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48"/>
    </row>
    <row r="309" spans="1:28" ht="12.75" customHeight="1">
      <c r="A309" s="65">
        <v>145</v>
      </c>
      <c r="B309" s="75">
        <v>6057.32</v>
      </c>
      <c r="C309" s="66">
        <v>6430.36</v>
      </c>
      <c r="D309" s="66">
        <v>7418.79</v>
      </c>
      <c r="E309" s="66">
        <v>8547.27</v>
      </c>
      <c r="F309" s="66">
        <v>8797.0400000000009</v>
      </c>
      <c r="G309" s="66">
        <v>11061.04</v>
      </c>
      <c r="H309" s="67">
        <v>17459.62</v>
      </c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48"/>
    </row>
    <row r="310" spans="1:28" ht="12.75" customHeight="1">
      <c r="A310" s="71">
        <v>145.5</v>
      </c>
      <c r="B310" s="72">
        <v>6078.72</v>
      </c>
      <c r="C310" s="73">
        <v>6451.7</v>
      </c>
      <c r="D310" s="73">
        <v>7442.57</v>
      </c>
      <c r="E310" s="73">
        <v>8576.2999999999993</v>
      </c>
      <c r="F310" s="73">
        <v>8827.2199999999993</v>
      </c>
      <c r="G310" s="73">
        <v>11097.33</v>
      </c>
      <c r="H310" s="74">
        <v>17520.22</v>
      </c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48"/>
    </row>
    <row r="311" spans="1:28" ht="12.75" customHeight="1">
      <c r="A311" s="65">
        <v>146</v>
      </c>
      <c r="B311" s="75">
        <v>6100.12</v>
      </c>
      <c r="C311" s="66">
        <v>6473.04</v>
      </c>
      <c r="D311" s="66">
        <v>7466.35</v>
      </c>
      <c r="E311" s="66">
        <v>8605.33</v>
      </c>
      <c r="F311" s="66">
        <v>8857.39</v>
      </c>
      <c r="G311" s="66">
        <v>11133.61</v>
      </c>
      <c r="H311" s="67">
        <v>17580.82</v>
      </c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48"/>
    </row>
    <row r="312" spans="1:28" ht="12.75" customHeight="1">
      <c r="A312" s="71">
        <v>146.5</v>
      </c>
      <c r="B312" s="72">
        <v>6121.53</v>
      </c>
      <c r="C312" s="73">
        <v>6494.38</v>
      </c>
      <c r="D312" s="73">
        <v>7490.13</v>
      </c>
      <c r="E312" s="73">
        <v>8634.35</v>
      </c>
      <c r="F312" s="73">
        <v>8887.57</v>
      </c>
      <c r="G312" s="73">
        <v>11169.9</v>
      </c>
      <c r="H312" s="74">
        <v>17641.419999999998</v>
      </c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</row>
    <row r="313" spans="1:28" ht="12.75" customHeight="1">
      <c r="A313" s="65">
        <v>147</v>
      </c>
      <c r="B313" s="75">
        <v>6142.93</v>
      </c>
      <c r="C313" s="66">
        <v>6515.72</v>
      </c>
      <c r="D313" s="66">
        <v>7513.91</v>
      </c>
      <c r="E313" s="66">
        <v>8663.3799999999992</v>
      </c>
      <c r="F313" s="66">
        <v>8917.75</v>
      </c>
      <c r="G313" s="66">
        <v>11206.18</v>
      </c>
      <c r="H313" s="67">
        <v>17702.02</v>
      </c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</row>
    <row r="314" spans="1:28" ht="12.75" customHeight="1">
      <c r="A314" s="71">
        <v>147.5</v>
      </c>
      <c r="B314" s="72">
        <v>6164.33</v>
      </c>
      <c r="C314" s="73">
        <v>6537.06</v>
      </c>
      <c r="D314" s="73">
        <v>7537.69</v>
      </c>
      <c r="E314" s="73">
        <v>8692.41</v>
      </c>
      <c r="F314" s="73">
        <v>8947.92</v>
      </c>
      <c r="G314" s="73">
        <v>11242.47</v>
      </c>
      <c r="H314" s="74">
        <v>17762.61</v>
      </c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  <c r="AB314" s="48"/>
    </row>
    <row r="315" spans="1:28" ht="12.75" customHeight="1">
      <c r="A315" s="65">
        <v>148</v>
      </c>
      <c r="B315" s="75">
        <v>6185.73</v>
      </c>
      <c r="C315" s="66">
        <v>6558.4</v>
      </c>
      <c r="D315" s="66">
        <v>7561.47</v>
      </c>
      <c r="E315" s="66">
        <v>8721.44</v>
      </c>
      <c r="F315" s="66">
        <v>8978.1</v>
      </c>
      <c r="G315" s="66">
        <v>11278.75</v>
      </c>
      <c r="H315" s="67">
        <v>17823.21</v>
      </c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  <c r="AB315" s="48"/>
    </row>
    <row r="316" spans="1:28" ht="12.75" customHeight="1">
      <c r="A316" s="71">
        <v>148.5</v>
      </c>
      <c r="B316" s="72">
        <v>6207.13</v>
      </c>
      <c r="C316" s="73">
        <v>6579.74</v>
      </c>
      <c r="D316" s="73">
        <v>7585.25</v>
      </c>
      <c r="E316" s="73">
        <v>8750.4699999999993</v>
      </c>
      <c r="F316" s="73">
        <v>9008.27</v>
      </c>
      <c r="G316" s="73">
        <v>11315.04</v>
      </c>
      <c r="H316" s="74">
        <v>17883.810000000001</v>
      </c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  <c r="AB316" s="48"/>
    </row>
    <row r="317" spans="1:28" ht="12.75" customHeight="1">
      <c r="A317" s="65">
        <v>149</v>
      </c>
      <c r="B317" s="75">
        <v>6228.54</v>
      </c>
      <c r="C317" s="66">
        <v>6601.08</v>
      </c>
      <c r="D317" s="66">
        <v>7609.03</v>
      </c>
      <c r="E317" s="66">
        <v>8779.49</v>
      </c>
      <c r="F317" s="66">
        <v>9038.4500000000007</v>
      </c>
      <c r="G317" s="66">
        <v>11351.32</v>
      </c>
      <c r="H317" s="67">
        <v>17944.41</v>
      </c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</row>
    <row r="318" spans="1:28" ht="12.75" customHeight="1">
      <c r="A318" s="71">
        <v>149.5</v>
      </c>
      <c r="B318" s="72">
        <v>6249.94</v>
      </c>
      <c r="C318" s="73">
        <v>6622.42</v>
      </c>
      <c r="D318" s="73">
        <v>7632.81</v>
      </c>
      <c r="E318" s="73">
        <v>8808.52</v>
      </c>
      <c r="F318" s="73">
        <v>9068.6299999999992</v>
      </c>
      <c r="G318" s="73">
        <v>11387.61</v>
      </c>
      <c r="H318" s="74">
        <v>18005.009999999998</v>
      </c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</row>
    <row r="319" spans="1:28" ht="12.75" customHeight="1">
      <c r="A319" s="65">
        <v>150</v>
      </c>
      <c r="B319" s="75">
        <v>6271.34</v>
      </c>
      <c r="C319" s="66">
        <v>6643.76</v>
      </c>
      <c r="D319" s="66">
        <v>7656.59</v>
      </c>
      <c r="E319" s="66">
        <v>8837.5499999999993</v>
      </c>
      <c r="F319" s="66">
        <v>9098.7999999999993</v>
      </c>
      <c r="G319" s="66">
        <v>11423.89</v>
      </c>
      <c r="H319" s="67">
        <v>18065.599999999999</v>
      </c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</row>
    <row r="320" spans="1:28" ht="12.75" customHeight="1">
      <c r="A320" s="71">
        <v>150.5</v>
      </c>
      <c r="B320" s="72">
        <v>6292.74</v>
      </c>
      <c r="C320" s="73">
        <v>6665.1</v>
      </c>
      <c r="D320" s="73">
        <v>7680.37</v>
      </c>
      <c r="E320" s="73">
        <v>8866.58</v>
      </c>
      <c r="F320" s="73">
        <v>9128.98</v>
      </c>
      <c r="G320" s="73">
        <v>11460.18</v>
      </c>
      <c r="H320" s="74">
        <v>18126.2</v>
      </c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  <c r="AB320" s="48"/>
    </row>
    <row r="321" spans="1:28" ht="12.75" customHeight="1">
      <c r="A321" s="65">
        <v>151</v>
      </c>
      <c r="B321" s="75">
        <v>6314.14</v>
      </c>
      <c r="C321" s="66">
        <v>6686.44</v>
      </c>
      <c r="D321" s="66">
        <v>7704.15</v>
      </c>
      <c r="E321" s="66">
        <v>8895.61</v>
      </c>
      <c r="F321" s="66">
        <v>9159.15</v>
      </c>
      <c r="G321" s="66">
        <v>11496.46</v>
      </c>
      <c r="H321" s="67">
        <v>18186.8</v>
      </c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</row>
    <row r="322" spans="1:28" ht="12.75" customHeight="1">
      <c r="A322" s="71">
        <v>151.5</v>
      </c>
      <c r="B322" s="72">
        <v>6335.55</v>
      </c>
      <c r="C322" s="73">
        <v>6707.78</v>
      </c>
      <c r="D322" s="73">
        <v>7727.93</v>
      </c>
      <c r="E322" s="73">
        <v>8924.6299999999992</v>
      </c>
      <c r="F322" s="73">
        <v>9189.33</v>
      </c>
      <c r="G322" s="73">
        <v>11532.75</v>
      </c>
      <c r="H322" s="74">
        <v>18247.400000000001</v>
      </c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  <c r="AB322" s="48"/>
    </row>
    <row r="323" spans="1:28" ht="12.75" customHeight="1">
      <c r="A323" s="65">
        <v>152</v>
      </c>
      <c r="B323" s="75">
        <v>6356.95</v>
      </c>
      <c r="C323" s="66">
        <v>6729.13</v>
      </c>
      <c r="D323" s="66">
        <v>7751.71</v>
      </c>
      <c r="E323" s="66">
        <v>8953.66</v>
      </c>
      <c r="F323" s="66">
        <v>9219.51</v>
      </c>
      <c r="G323" s="66">
        <v>11569.03</v>
      </c>
      <c r="H323" s="67">
        <v>18308</v>
      </c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</row>
    <row r="324" spans="1:28" ht="12.75" customHeight="1">
      <c r="A324" s="71">
        <v>152.5</v>
      </c>
      <c r="B324" s="72">
        <v>6378.35</v>
      </c>
      <c r="C324" s="73">
        <v>6750.47</v>
      </c>
      <c r="D324" s="73">
        <v>7775.49</v>
      </c>
      <c r="E324" s="73">
        <v>8982.69</v>
      </c>
      <c r="F324" s="73">
        <v>9249.68</v>
      </c>
      <c r="G324" s="73">
        <v>11605.32</v>
      </c>
      <c r="H324" s="74">
        <v>18368.59</v>
      </c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</row>
    <row r="325" spans="1:28" ht="12.75" customHeight="1">
      <c r="A325" s="65">
        <v>153</v>
      </c>
      <c r="B325" s="75">
        <v>6399.75</v>
      </c>
      <c r="C325" s="66">
        <v>6771.81</v>
      </c>
      <c r="D325" s="66">
        <v>7799.27</v>
      </c>
      <c r="E325" s="66">
        <v>9011.7199999999993</v>
      </c>
      <c r="F325" s="66">
        <v>9279.86</v>
      </c>
      <c r="G325" s="66">
        <v>11641.6</v>
      </c>
      <c r="H325" s="67">
        <v>18429.189999999999</v>
      </c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</row>
    <row r="326" spans="1:28" ht="12.75" customHeight="1">
      <c r="A326" s="71">
        <v>153.5</v>
      </c>
      <c r="B326" s="72">
        <v>6421.15</v>
      </c>
      <c r="C326" s="73">
        <v>6793.15</v>
      </c>
      <c r="D326" s="73">
        <v>7823.05</v>
      </c>
      <c r="E326" s="73">
        <v>9040.75</v>
      </c>
      <c r="F326" s="73">
        <v>9310.0300000000007</v>
      </c>
      <c r="G326" s="73">
        <v>11677.89</v>
      </c>
      <c r="H326" s="74">
        <v>18489.79</v>
      </c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48"/>
    </row>
    <row r="327" spans="1:28" ht="12.75" customHeight="1">
      <c r="A327" s="65">
        <v>154</v>
      </c>
      <c r="B327" s="75">
        <v>6442.56</v>
      </c>
      <c r="C327" s="66">
        <v>6814.49</v>
      </c>
      <c r="D327" s="66">
        <v>7846.83</v>
      </c>
      <c r="E327" s="66">
        <v>9069.77</v>
      </c>
      <c r="F327" s="66">
        <v>9340.2099999999991</v>
      </c>
      <c r="G327" s="66">
        <v>11714.17</v>
      </c>
      <c r="H327" s="67">
        <v>18550.39</v>
      </c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  <c r="AB327" s="48"/>
    </row>
    <row r="328" spans="1:28" ht="12.75" customHeight="1">
      <c r="A328" s="71">
        <v>154.5</v>
      </c>
      <c r="B328" s="72">
        <v>6463.96</v>
      </c>
      <c r="C328" s="73">
        <v>6835.83</v>
      </c>
      <c r="D328" s="73">
        <v>7870.61</v>
      </c>
      <c r="E328" s="73">
        <v>9098.7999999999993</v>
      </c>
      <c r="F328" s="73">
        <v>9370.39</v>
      </c>
      <c r="G328" s="73">
        <v>11750.46</v>
      </c>
      <c r="H328" s="74">
        <v>18610.990000000002</v>
      </c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  <c r="AB328" s="48"/>
    </row>
    <row r="329" spans="1:28" ht="12.75" customHeight="1">
      <c r="A329" s="65">
        <v>155</v>
      </c>
      <c r="B329" s="75">
        <v>6485.36</v>
      </c>
      <c r="C329" s="66">
        <v>6857.17</v>
      </c>
      <c r="D329" s="66">
        <v>7894.39</v>
      </c>
      <c r="E329" s="66">
        <v>9127.83</v>
      </c>
      <c r="F329" s="66">
        <v>9400.56</v>
      </c>
      <c r="G329" s="66">
        <v>11786.74</v>
      </c>
      <c r="H329" s="67">
        <v>18671.580000000002</v>
      </c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</row>
    <row r="330" spans="1:28" ht="12.75" customHeight="1">
      <c r="A330" s="71">
        <v>155.5</v>
      </c>
      <c r="B330" s="72">
        <v>6506.76</v>
      </c>
      <c r="C330" s="73">
        <v>6878.51</v>
      </c>
      <c r="D330" s="73">
        <v>7918.17</v>
      </c>
      <c r="E330" s="73">
        <v>9156.86</v>
      </c>
      <c r="F330" s="73">
        <v>9430.74</v>
      </c>
      <c r="G330" s="73">
        <v>11823.03</v>
      </c>
      <c r="H330" s="74">
        <v>18732.18</v>
      </c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</row>
    <row r="331" spans="1:28" ht="12.75" customHeight="1">
      <c r="A331" s="65">
        <v>156</v>
      </c>
      <c r="B331" s="75">
        <v>6528.16</v>
      </c>
      <c r="C331" s="66">
        <v>6899.85</v>
      </c>
      <c r="D331" s="66">
        <v>7941.95</v>
      </c>
      <c r="E331" s="66">
        <v>9185.89</v>
      </c>
      <c r="F331" s="66">
        <v>9460.91</v>
      </c>
      <c r="G331" s="66">
        <v>11859.31</v>
      </c>
      <c r="H331" s="67">
        <v>18792.78</v>
      </c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</row>
    <row r="332" spans="1:28" ht="12.75" customHeight="1">
      <c r="A332" s="71">
        <v>156.5</v>
      </c>
      <c r="B332" s="72">
        <v>6549.57</v>
      </c>
      <c r="C332" s="73">
        <v>6921.19</v>
      </c>
      <c r="D332" s="73">
        <v>7965.73</v>
      </c>
      <c r="E332" s="73">
        <v>9214.91</v>
      </c>
      <c r="F332" s="73">
        <v>9491.09</v>
      </c>
      <c r="G332" s="73">
        <v>11895.6</v>
      </c>
      <c r="H332" s="74">
        <v>18853.38</v>
      </c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  <c r="AB332" s="48"/>
    </row>
    <row r="333" spans="1:28" ht="12.75" customHeight="1">
      <c r="A333" s="65">
        <v>157</v>
      </c>
      <c r="B333" s="75">
        <v>6570.97</v>
      </c>
      <c r="C333" s="66">
        <v>6942.53</v>
      </c>
      <c r="D333" s="66">
        <v>7989.51</v>
      </c>
      <c r="E333" s="66">
        <v>9243.94</v>
      </c>
      <c r="F333" s="66">
        <v>9521.27</v>
      </c>
      <c r="G333" s="66">
        <v>11931.88</v>
      </c>
      <c r="H333" s="67">
        <v>18913.98</v>
      </c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</row>
    <row r="334" spans="1:28" ht="12.75" customHeight="1">
      <c r="A334" s="71">
        <v>157.5</v>
      </c>
      <c r="B334" s="72">
        <v>6592.37</v>
      </c>
      <c r="C334" s="73">
        <v>6963.87</v>
      </c>
      <c r="D334" s="73">
        <v>8013.29</v>
      </c>
      <c r="E334" s="73">
        <v>9272.9699999999993</v>
      </c>
      <c r="F334" s="73">
        <v>9551.44</v>
      </c>
      <c r="G334" s="73">
        <v>11968.17</v>
      </c>
      <c r="H334" s="74">
        <v>18974.57</v>
      </c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48"/>
    </row>
    <row r="335" spans="1:28" ht="12.75" customHeight="1">
      <c r="A335" s="65">
        <v>158</v>
      </c>
      <c r="B335" s="75">
        <v>6613.77</v>
      </c>
      <c r="C335" s="66">
        <v>6985.21</v>
      </c>
      <c r="D335" s="66">
        <v>8037.07</v>
      </c>
      <c r="E335" s="66">
        <v>9302</v>
      </c>
      <c r="F335" s="66">
        <v>9581.6200000000008</v>
      </c>
      <c r="G335" s="66">
        <v>12004.45</v>
      </c>
      <c r="H335" s="67">
        <v>19035.169999999998</v>
      </c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</row>
    <row r="336" spans="1:28" ht="12.75" customHeight="1">
      <c r="A336" s="71">
        <v>158.5</v>
      </c>
      <c r="B336" s="72">
        <v>6635.17</v>
      </c>
      <c r="C336" s="73">
        <v>7006.55</v>
      </c>
      <c r="D336" s="73">
        <v>8060.85</v>
      </c>
      <c r="E336" s="73">
        <v>9331.0300000000007</v>
      </c>
      <c r="F336" s="73">
        <v>9611.7900000000009</v>
      </c>
      <c r="G336" s="73">
        <v>12040.74</v>
      </c>
      <c r="H336" s="74">
        <v>19095.77</v>
      </c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</row>
    <row r="337" spans="1:28" ht="12.75" customHeight="1">
      <c r="A337" s="65">
        <v>159</v>
      </c>
      <c r="B337" s="75">
        <v>6656.58</v>
      </c>
      <c r="C337" s="66">
        <v>7027.89</v>
      </c>
      <c r="D337" s="66">
        <v>8084.63</v>
      </c>
      <c r="E337" s="66">
        <v>9360.0499999999993</v>
      </c>
      <c r="F337" s="66">
        <v>9641.9699999999993</v>
      </c>
      <c r="G337" s="66">
        <v>12077.02</v>
      </c>
      <c r="H337" s="67">
        <v>19156.37</v>
      </c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</row>
    <row r="338" spans="1:28" ht="12.75" customHeight="1">
      <c r="A338" s="71">
        <v>159.5</v>
      </c>
      <c r="B338" s="72">
        <v>6677.98</v>
      </c>
      <c r="C338" s="73">
        <v>7049.23</v>
      </c>
      <c r="D338" s="73">
        <v>8108.41</v>
      </c>
      <c r="E338" s="73">
        <v>9389.08</v>
      </c>
      <c r="F338" s="73">
        <v>9672.15</v>
      </c>
      <c r="G338" s="73">
        <v>12113.31</v>
      </c>
      <c r="H338" s="74">
        <v>19216.97</v>
      </c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  <c r="AB338" s="48"/>
    </row>
    <row r="339" spans="1:28" ht="12.75" customHeight="1">
      <c r="A339" s="65">
        <v>160</v>
      </c>
      <c r="B339" s="75">
        <v>6699.38</v>
      </c>
      <c r="C339" s="66">
        <v>7070.57</v>
      </c>
      <c r="D339" s="66">
        <v>8132.19</v>
      </c>
      <c r="E339" s="66">
        <v>9418.11</v>
      </c>
      <c r="F339" s="66">
        <v>9702.32</v>
      </c>
      <c r="G339" s="66">
        <v>12149.59</v>
      </c>
      <c r="H339" s="67">
        <v>19277.560000000001</v>
      </c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</row>
    <row r="340" spans="1:28" ht="12.75" customHeight="1">
      <c r="A340" s="71">
        <v>160.5</v>
      </c>
      <c r="B340" s="72">
        <v>6720.78</v>
      </c>
      <c r="C340" s="73">
        <v>7091.91</v>
      </c>
      <c r="D340" s="73">
        <v>8155.97</v>
      </c>
      <c r="E340" s="73">
        <v>9447.14</v>
      </c>
      <c r="F340" s="73">
        <v>9732.5</v>
      </c>
      <c r="G340" s="73">
        <v>12185.88</v>
      </c>
      <c r="H340" s="74">
        <v>19338.16</v>
      </c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  <c r="AB340" s="48"/>
    </row>
    <row r="341" spans="1:28" ht="12.75" customHeight="1">
      <c r="A341" s="65">
        <v>161</v>
      </c>
      <c r="B341" s="75">
        <v>6742.18</v>
      </c>
      <c r="C341" s="66">
        <v>7113.25</v>
      </c>
      <c r="D341" s="66">
        <v>8179.75</v>
      </c>
      <c r="E341" s="66">
        <v>9476.17</v>
      </c>
      <c r="F341" s="66">
        <v>9762.67</v>
      </c>
      <c r="G341" s="66">
        <v>12222.16</v>
      </c>
      <c r="H341" s="67">
        <v>19398.759999999998</v>
      </c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</row>
    <row r="342" spans="1:28" ht="12.75" customHeight="1">
      <c r="A342" s="71">
        <v>161.5</v>
      </c>
      <c r="B342" s="72">
        <v>6763.59</v>
      </c>
      <c r="C342" s="73">
        <v>7134.59</v>
      </c>
      <c r="D342" s="73">
        <v>8203.5300000000007</v>
      </c>
      <c r="E342" s="73">
        <v>9505.19</v>
      </c>
      <c r="F342" s="73">
        <v>9792.85</v>
      </c>
      <c r="G342" s="73">
        <v>12258.45</v>
      </c>
      <c r="H342" s="74">
        <v>19459.36</v>
      </c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</row>
    <row r="343" spans="1:28" ht="12.75" customHeight="1">
      <c r="A343" s="65">
        <v>162</v>
      </c>
      <c r="B343" s="75">
        <v>6784.99</v>
      </c>
      <c r="C343" s="66">
        <v>7155.94</v>
      </c>
      <c r="D343" s="66">
        <v>8227.31</v>
      </c>
      <c r="E343" s="66">
        <v>9534.2199999999993</v>
      </c>
      <c r="F343" s="66">
        <v>9823.0300000000007</v>
      </c>
      <c r="G343" s="66">
        <v>12294.73</v>
      </c>
      <c r="H343" s="67">
        <v>19519.96</v>
      </c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</row>
    <row r="344" spans="1:28" ht="12.75" customHeight="1">
      <c r="A344" s="71">
        <v>162.5</v>
      </c>
      <c r="B344" s="72">
        <v>6806.39</v>
      </c>
      <c r="C344" s="73">
        <v>7177.28</v>
      </c>
      <c r="D344" s="73">
        <v>8251.09</v>
      </c>
      <c r="E344" s="73">
        <v>9563.25</v>
      </c>
      <c r="F344" s="73">
        <v>9853.2000000000007</v>
      </c>
      <c r="G344" s="73">
        <v>12331.02</v>
      </c>
      <c r="H344" s="74">
        <v>19580.55</v>
      </c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  <c r="AB344" s="48"/>
    </row>
    <row r="345" spans="1:28" ht="12.75" customHeight="1">
      <c r="A345" s="65">
        <v>163</v>
      </c>
      <c r="B345" s="75">
        <v>6827.79</v>
      </c>
      <c r="C345" s="66">
        <v>7198.62</v>
      </c>
      <c r="D345" s="66">
        <v>8274.8700000000008</v>
      </c>
      <c r="E345" s="66">
        <v>9592.2800000000007</v>
      </c>
      <c r="F345" s="66">
        <v>9883.3799999999992</v>
      </c>
      <c r="G345" s="66">
        <v>12367.3</v>
      </c>
      <c r="H345" s="67">
        <v>19641.150000000001</v>
      </c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</row>
    <row r="346" spans="1:28" ht="12.75" customHeight="1">
      <c r="A346" s="71">
        <v>163.5</v>
      </c>
      <c r="B346" s="72">
        <v>6849.19</v>
      </c>
      <c r="C346" s="73">
        <v>7219.96</v>
      </c>
      <c r="D346" s="73">
        <v>8298.65</v>
      </c>
      <c r="E346" s="73">
        <v>9621.31</v>
      </c>
      <c r="F346" s="73">
        <v>9913.5499999999993</v>
      </c>
      <c r="G346" s="73">
        <v>12403.59</v>
      </c>
      <c r="H346" s="74">
        <v>19701.75</v>
      </c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</row>
    <row r="347" spans="1:28" ht="12.75" customHeight="1">
      <c r="A347" s="65">
        <v>164</v>
      </c>
      <c r="B347" s="75">
        <v>6870.6</v>
      </c>
      <c r="C347" s="66">
        <v>7241.3</v>
      </c>
      <c r="D347" s="66">
        <v>8322.43</v>
      </c>
      <c r="E347" s="66">
        <v>9650.33</v>
      </c>
      <c r="F347" s="66">
        <v>9943.73</v>
      </c>
      <c r="G347" s="66">
        <v>12439.87</v>
      </c>
      <c r="H347" s="67">
        <v>19762.349999999999</v>
      </c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</row>
    <row r="348" spans="1:28" ht="12.75" customHeight="1">
      <c r="A348" s="71">
        <v>164.5</v>
      </c>
      <c r="B348" s="72">
        <v>6892</v>
      </c>
      <c r="C348" s="73">
        <v>7262.64</v>
      </c>
      <c r="D348" s="73">
        <v>8346.2099999999991</v>
      </c>
      <c r="E348" s="73">
        <v>9679.36</v>
      </c>
      <c r="F348" s="73">
        <v>9973.91</v>
      </c>
      <c r="G348" s="73">
        <v>12476.16</v>
      </c>
      <c r="H348" s="74">
        <v>19822.95</v>
      </c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</row>
    <row r="349" spans="1:28" ht="12.75" customHeight="1">
      <c r="A349" s="65">
        <v>165</v>
      </c>
      <c r="B349" s="75">
        <v>6913.4</v>
      </c>
      <c r="C349" s="66">
        <v>7283.98</v>
      </c>
      <c r="D349" s="66">
        <v>8369.99</v>
      </c>
      <c r="E349" s="66">
        <v>9708.39</v>
      </c>
      <c r="F349" s="66">
        <v>10004.08</v>
      </c>
      <c r="G349" s="66">
        <v>12512.44</v>
      </c>
      <c r="H349" s="67">
        <v>19883.54</v>
      </c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</row>
    <row r="350" spans="1:28" ht="12.75" customHeight="1">
      <c r="A350" s="71">
        <v>165.5</v>
      </c>
      <c r="B350" s="72">
        <v>6934.8</v>
      </c>
      <c r="C350" s="73">
        <v>7305.32</v>
      </c>
      <c r="D350" s="73">
        <v>8393.77</v>
      </c>
      <c r="E350" s="73">
        <v>9737.42</v>
      </c>
      <c r="F350" s="73">
        <v>10034.26</v>
      </c>
      <c r="G350" s="73">
        <v>12548.73</v>
      </c>
      <c r="H350" s="74">
        <v>19944.14</v>
      </c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  <c r="AB350" s="48"/>
    </row>
    <row r="351" spans="1:28" ht="12.75" customHeight="1">
      <c r="A351" s="65">
        <v>166</v>
      </c>
      <c r="B351" s="75">
        <v>6956.2</v>
      </c>
      <c r="C351" s="66">
        <v>7326.66</v>
      </c>
      <c r="D351" s="66">
        <v>8417.5499999999993</v>
      </c>
      <c r="E351" s="66">
        <v>9766.4500000000007</v>
      </c>
      <c r="F351" s="66">
        <v>10064.43</v>
      </c>
      <c r="G351" s="66">
        <v>12585.01</v>
      </c>
      <c r="H351" s="67">
        <v>20004.740000000002</v>
      </c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</row>
    <row r="352" spans="1:28" ht="12.75" customHeight="1">
      <c r="A352" s="71">
        <v>166.5</v>
      </c>
      <c r="B352" s="72">
        <v>6977.61</v>
      </c>
      <c r="C352" s="73">
        <v>7348</v>
      </c>
      <c r="D352" s="73">
        <v>8441.33</v>
      </c>
      <c r="E352" s="73">
        <v>9795.4699999999993</v>
      </c>
      <c r="F352" s="73">
        <v>10094.61</v>
      </c>
      <c r="G352" s="73">
        <v>12621.3</v>
      </c>
      <c r="H352" s="74">
        <v>20065.34</v>
      </c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48"/>
    </row>
    <row r="353" spans="1:28" ht="12.75" customHeight="1">
      <c r="A353" s="65">
        <v>167</v>
      </c>
      <c r="B353" s="75">
        <v>6999.01</v>
      </c>
      <c r="C353" s="66">
        <v>7369.34</v>
      </c>
      <c r="D353" s="66">
        <v>8465.11</v>
      </c>
      <c r="E353" s="66">
        <v>9824.5</v>
      </c>
      <c r="F353" s="66">
        <v>10124.790000000001</v>
      </c>
      <c r="G353" s="66">
        <v>12657.58</v>
      </c>
      <c r="H353" s="67">
        <v>20125.939999999999</v>
      </c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</row>
    <row r="354" spans="1:28" ht="12.75" customHeight="1">
      <c r="A354" s="71">
        <v>167.5</v>
      </c>
      <c r="B354" s="72">
        <v>7020.41</v>
      </c>
      <c r="C354" s="73">
        <v>7390.68</v>
      </c>
      <c r="D354" s="73">
        <v>8488.89</v>
      </c>
      <c r="E354" s="73">
        <v>9853.5300000000007</v>
      </c>
      <c r="F354" s="73">
        <v>10154.959999999999</v>
      </c>
      <c r="G354" s="73">
        <v>12693.87</v>
      </c>
      <c r="H354" s="74">
        <v>20186.53</v>
      </c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</row>
    <row r="355" spans="1:28" ht="12.75" customHeight="1">
      <c r="A355" s="65">
        <v>168</v>
      </c>
      <c r="B355" s="75">
        <v>7041.81</v>
      </c>
      <c r="C355" s="66">
        <v>7412.02</v>
      </c>
      <c r="D355" s="66">
        <v>8512.67</v>
      </c>
      <c r="E355" s="66">
        <v>9882.56</v>
      </c>
      <c r="F355" s="66">
        <v>10185.14</v>
      </c>
      <c r="G355" s="66">
        <v>12730.15</v>
      </c>
      <c r="H355" s="67">
        <v>20247.13</v>
      </c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</row>
    <row r="356" spans="1:28" ht="12.75" customHeight="1">
      <c r="A356" s="71">
        <v>168.5</v>
      </c>
      <c r="B356" s="72">
        <v>7063.21</v>
      </c>
      <c r="C356" s="73">
        <v>7433.36</v>
      </c>
      <c r="D356" s="73">
        <v>8536.4500000000007</v>
      </c>
      <c r="E356" s="73">
        <v>9911.59</v>
      </c>
      <c r="F356" s="73">
        <v>10215.31</v>
      </c>
      <c r="G356" s="73">
        <v>12766.44</v>
      </c>
      <c r="H356" s="74">
        <v>20307.73</v>
      </c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48"/>
    </row>
    <row r="357" spans="1:28" ht="12.75" customHeight="1">
      <c r="A357" s="65">
        <v>169</v>
      </c>
      <c r="B357" s="75">
        <v>7084.62</v>
      </c>
      <c r="C357" s="66">
        <v>7454.7</v>
      </c>
      <c r="D357" s="66">
        <v>8560.23</v>
      </c>
      <c r="E357" s="66">
        <v>9940.61</v>
      </c>
      <c r="F357" s="66">
        <v>10245.49</v>
      </c>
      <c r="G357" s="66">
        <v>12802.72</v>
      </c>
      <c r="H357" s="67">
        <v>20368.330000000002</v>
      </c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</row>
    <row r="358" spans="1:28" ht="12.75" customHeight="1">
      <c r="A358" s="71">
        <v>169.5</v>
      </c>
      <c r="B358" s="72">
        <v>7106.02</v>
      </c>
      <c r="C358" s="73">
        <v>7476.04</v>
      </c>
      <c r="D358" s="73">
        <v>8584.01</v>
      </c>
      <c r="E358" s="73">
        <v>9969.64</v>
      </c>
      <c r="F358" s="73">
        <v>10275.67</v>
      </c>
      <c r="G358" s="73">
        <v>12839.01</v>
      </c>
      <c r="H358" s="74">
        <v>20428.93</v>
      </c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  <c r="AB358" s="48"/>
    </row>
    <row r="359" spans="1:28" ht="12.75" customHeight="1">
      <c r="A359" s="65">
        <v>170</v>
      </c>
      <c r="B359" s="75">
        <v>7127.42</v>
      </c>
      <c r="C359" s="66">
        <v>7497.38</v>
      </c>
      <c r="D359" s="66">
        <v>8607.7900000000009</v>
      </c>
      <c r="E359" s="66">
        <v>9998.67</v>
      </c>
      <c r="F359" s="66">
        <v>10305.84</v>
      </c>
      <c r="G359" s="66">
        <v>12875.29</v>
      </c>
      <c r="H359" s="67">
        <v>20489.52</v>
      </c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</row>
    <row r="360" spans="1:28" ht="12.75" customHeight="1">
      <c r="A360" s="71">
        <v>170.5</v>
      </c>
      <c r="B360" s="72">
        <v>7148.82</v>
      </c>
      <c r="C360" s="73">
        <v>7518.72</v>
      </c>
      <c r="D360" s="73">
        <v>8631.57</v>
      </c>
      <c r="E360" s="73">
        <v>10027.700000000001</v>
      </c>
      <c r="F360" s="73">
        <v>10336.02</v>
      </c>
      <c r="G360" s="73">
        <v>12911.58</v>
      </c>
      <c r="H360" s="74">
        <v>20550.12</v>
      </c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</row>
    <row r="361" spans="1:28" ht="12.75" customHeight="1">
      <c r="A361" s="65">
        <v>171</v>
      </c>
      <c r="B361" s="75">
        <v>7170.22</v>
      </c>
      <c r="C361" s="66">
        <v>7540.06</v>
      </c>
      <c r="D361" s="66">
        <v>8655.35</v>
      </c>
      <c r="E361" s="66">
        <v>10056.73</v>
      </c>
      <c r="F361" s="66">
        <v>10366.19</v>
      </c>
      <c r="G361" s="66">
        <v>12947.86</v>
      </c>
      <c r="H361" s="67">
        <v>20610.72</v>
      </c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</row>
    <row r="362" spans="1:28" ht="12.75" customHeight="1">
      <c r="A362" s="71">
        <v>171.5</v>
      </c>
      <c r="B362" s="72">
        <v>7191.63</v>
      </c>
      <c r="C362" s="73">
        <v>7561.4</v>
      </c>
      <c r="D362" s="73">
        <v>8679.1299999999992</v>
      </c>
      <c r="E362" s="73">
        <v>10085.75</v>
      </c>
      <c r="F362" s="73">
        <v>10396.370000000001</v>
      </c>
      <c r="G362" s="73">
        <v>12984.15</v>
      </c>
      <c r="H362" s="74">
        <v>20671.32</v>
      </c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</row>
    <row r="363" spans="1:28" ht="12.75" customHeight="1">
      <c r="A363" s="65">
        <v>172</v>
      </c>
      <c r="B363" s="75">
        <v>7213.03</v>
      </c>
      <c r="C363" s="66">
        <v>7582.75</v>
      </c>
      <c r="D363" s="66">
        <v>8702.91</v>
      </c>
      <c r="E363" s="66">
        <v>10114.780000000001</v>
      </c>
      <c r="F363" s="66">
        <v>10426.549999999999</v>
      </c>
      <c r="G363" s="66">
        <v>13020.43</v>
      </c>
      <c r="H363" s="67">
        <v>20731.919999999998</v>
      </c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</row>
    <row r="364" spans="1:28" ht="12.75" customHeight="1">
      <c r="A364" s="71">
        <v>172.5</v>
      </c>
      <c r="B364" s="72">
        <v>7234.43</v>
      </c>
      <c r="C364" s="73">
        <v>7604.09</v>
      </c>
      <c r="D364" s="73">
        <v>8726.69</v>
      </c>
      <c r="E364" s="73">
        <v>10143.81</v>
      </c>
      <c r="F364" s="73">
        <v>10456.719999999999</v>
      </c>
      <c r="G364" s="73">
        <v>13056.72</v>
      </c>
      <c r="H364" s="74">
        <v>20792.509999999998</v>
      </c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</row>
    <row r="365" spans="1:28" ht="12.75" customHeight="1">
      <c r="A365" s="65">
        <v>173</v>
      </c>
      <c r="B365" s="75">
        <v>7255.83</v>
      </c>
      <c r="C365" s="66">
        <v>7625.43</v>
      </c>
      <c r="D365" s="66">
        <v>8750.4699999999993</v>
      </c>
      <c r="E365" s="66">
        <v>10172.84</v>
      </c>
      <c r="F365" s="66">
        <v>10486.9</v>
      </c>
      <c r="G365" s="66">
        <v>13093</v>
      </c>
      <c r="H365" s="67">
        <v>20853.11</v>
      </c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</row>
    <row r="366" spans="1:28" ht="12.75" customHeight="1">
      <c r="A366" s="71">
        <v>173.5</v>
      </c>
      <c r="B366" s="72">
        <v>7277.23</v>
      </c>
      <c r="C366" s="73">
        <v>7646.77</v>
      </c>
      <c r="D366" s="73">
        <v>8774.25</v>
      </c>
      <c r="E366" s="73">
        <v>10201.870000000001</v>
      </c>
      <c r="F366" s="73">
        <v>10517.07</v>
      </c>
      <c r="G366" s="73">
        <v>13129.29</v>
      </c>
      <c r="H366" s="74">
        <v>20913.71</v>
      </c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</row>
    <row r="367" spans="1:28" ht="12.75" customHeight="1">
      <c r="A367" s="65">
        <v>174</v>
      </c>
      <c r="B367" s="75">
        <v>7298.64</v>
      </c>
      <c r="C367" s="66">
        <v>7668.11</v>
      </c>
      <c r="D367" s="66">
        <v>8798.0300000000007</v>
      </c>
      <c r="E367" s="66">
        <v>10230.89</v>
      </c>
      <c r="F367" s="66">
        <v>10547.25</v>
      </c>
      <c r="G367" s="66">
        <v>13165.57</v>
      </c>
      <c r="H367" s="67">
        <v>20974.31</v>
      </c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</row>
    <row r="368" spans="1:28" ht="12.75" customHeight="1">
      <c r="A368" s="71">
        <v>174.5</v>
      </c>
      <c r="B368" s="72">
        <v>7320.04</v>
      </c>
      <c r="C368" s="73">
        <v>7689.45</v>
      </c>
      <c r="D368" s="73">
        <v>8821.81</v>
      </c>
      <c r="E368" s="73">
        <v>10259.92</v>
      </c>
      <c r="F368" s="73">
        <v>10577.43</v>
      </c>
      <c r="G368" s="73">
        <v>13201.86</v>
      </c>
      <c r="H368" s="74">
        <v>21034.91</v>
      </c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</row>
    <row r="369" spans="1:28" ht="12.75" customHeight="1">
      <c r="A369" s="65">
        <v>175</v>
      </c>
      <c r="B369" s="75">
        <v>7341.44</v>
      </c>
      <c r="C369" s="66">
        <v>7710.79</v>
      </c>
      <c r="D369" s="66">
        <v>8845.59</v>
      </c>
      <c r="E369" s="66">
        <v>10288.950000000001</v>
      </c>
      <c r="F369" s="66">
        <v>10607.6</v>
      </c>
      <c r="G369" s="66">
        <v>13238.14</v>
      </c>
      <c r="H369" s="67">
        <v>21095.5</v>
      </c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</row>
    <row r="370" spans="1:28" ht="12.75" customHeight="1">
      <c r="A370" s="71">
        <v>175.5</v>
      </c>
      <c r="B370" s="72">
        <v>7362.84</v>
      </c>
      <c r="C370" s="73">
        <v>7732.13</v>
      </c>
      <c r="D370" s="73">
        <v>8869.3700000000008</v>
      </c>
      <c r="E370" s="73">
        <v>10317.98</v>
      </c>
      <c r="F370" s="73">
        <v>10637.78</v>
      </c>
      <c r="G370" s="73">
        <v>13274.43</v>
      </c>
      <c r="H370" s="74">
        <v>21156.1</v>
      </c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</row>
    <row r="371" spans="1:28" ht="12.75" customHeight="1">
      <c r="A371" s="65">
        <v>176</v>
      </c>
      <c r="B371" s="75">
        <v>7384.24</v>
      </c>
      <c r="C371" s="66">
        <v>7753.47</v>
      </c>
      <c r="D371" s="66">
        <v>8893.15</v>
      </c>
      <c r="E371" s="66">
        <v>10347.01</v>
      </c>
      <c r="F371" s="66">
        <v>10667.95</v>
      </c>
      <c r="G371" s="66">
        <v>13310.71</v>
      </c>
      <c r="H371" s="67">
        <v>21216.7</v>
      </c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</row>
    <row r="372" spans="1:28" ht="12.75" customHeight="1">
      <c r="A372" s="71">
        <v>176.5</v>
      </c>
      <c r="B372" s="72">
        <v>7405.65</v>
      </c>
      <c r="C372" s="73">
        <v>7774.81</v>
      </c>
      <c r="D372" s="73">
        <v>8916.93</v>
      </c>
      <c r="E372" s="73">
        <v>10376.030000000001</v>
      </c>
      <c r="F372" s="73">
        <v>10698.13</v>
      </c>
      <c r="G372" s="73">
        <v>13347</v>
      </c>
      <c r="H372" s="74">
        <v>21277.3</v>
      </c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</row>
    <row r="373" spans="1:28" ht="12.75" customHeight="1">
      <c r="A373" s="65">
        <v>177</v>
      </c>
      <c r="B373" s="75">
        <v>7427.05</v>
      </c>
      <c r="C373" s="66">
        <v>7796.15</v>
      </c>
      <c r="D373" s="66">
        <v>8940.7099999999991</v>
      </c>
      <c r="E373" s="66">
        <v>10405.06</v>
      </c>
      <c r="F373" s="66">
        <v>10728.31</v>
      </c>
      <c r="G373" s="66">
        <v>13383.28</v>
      </c>
      <c r="H373" s="67">
        <v>21337.9</v>
      </c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</row>
    <row r="374" spans="1:28" ht="12.75" customHeight="1">
      <c r="A374" s="71">
        <v>177.5</v>
      </c>
      <c r="B374" s="72">
        <v>7448.45</v>
      </c>
      <c r="C374" s="73">
        <v>7817.49</v>
      </c>
      <c r="D374" s="73">
        <v>8964.49</v>
      </c>
      <c r="E374" s="73">
        <v>10434.09</v>
      </c>
      <c r="F374" s="73">
        <v>10758.48</v>
      </c>
      <c r="G374" s="73">
        <v>13419.57</v>
      </c>
      <c r="H374" s="74">
        <v>21398.49</v>
      </c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</row>
    <row r="375" spans="1:28" ht="12.75" customHeight="1">
      <c r="A375" s="65">
        <v>178</v>
      </c>
      <c r="B375" s="75">
        <v>7469.85</v>
      </c>
      <c r="C375" s="66">
        <v>7838.83</v>
      </c>
      <c r="D375" s="66">
        <v>8988.27</v>
      </c>
      <c r="E375" s="66">
        <v>10463.120000000001</v>
      </c>
      <c r="F375" s="66">
        <v>10788.66</v>
      </c>
      <c r="G375" s="66">
        <v>13455.85</v>
      </c>
      <c r="H375" s="67">
        <v>21459.09</v>
      </c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</row>
    <row r="376" spans="1:28" ht="12.75" customHeight="1">
      <c r="A376" s="71">
        <v>178.5</v>
      </c>
      <c r="B376" s="72">
        <v>7491.25</v>
      </c>
      <c r="C376" s="73">
        <v>7860.17</v>
      </c>
      <c r="D376" s="73">
        <v>9012.0499999999993</v>
      </c>
      <c r="E376" s="73">
        <v>10492.15</v>
      </c>
      <c r="F376" s="73">
        <v>10818.83</v>
      </c>
      <c r="G376" s="73">
        <v>13492.14</v>
      </c>
      <c r="H376" s="74">
        <v>21519.69</v>
      </c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</row>
    <row r="377" spans="1:28" ht="12.75" customHeight="1">
      <c r="A377" s="65">
        <v>179</v>
      </c>
      <c r="B377" s="75">
        <v>7512.66</v>
      </c>
      <c r="C377" s="66">
        <v>7881.51</v>
      </c>
      <c r="D377" s="66">
        <v>9035.83</v>
      </c>
      <c r="E377" s="66">
        <v>10521.17</v>
      </c>
      <c r="F377" s="66">
        <v>10849.01</v>
      </c>
      <c r="G377" s="66">
        <v>13528.42</v>
      </c>
      <c r="H377" s="67">
        <v>21580.29</v>
      </c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</row>
    <row r="378" spans="1:28" ht="12.75" customHeight="1">
      <c r="A378" s="71">
        <v>179.5</v>
      </c>
      <c r="B378" s="72">
        <v>7534.06</v>
      </c>
      <c r="C378" s="73">
        <v>7902.85</v>
      </c>
      <c r="D378" s="73">
        <v>9059.61</v>
      </c>
      <c r="E378" s="73">
        <v>10550.2</v>
      </c>
      <c r="F378" s="73">
        <v>10879.19</v>
      </c>
      <c r="G378" s="73">
        <v>13564.71</v>
      </c>
      <c r="H378" s="74">
        <v>21640.89</v>
      </c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</row>
    <row r="379" spans="1:28" ht="12.75" customHeight="1">
      <c r="A379" s="65">
        <v>180</v>
      </c>
      <c r="B379" s="75">
        <v>7555.46</v>
      </c>
      <c r="C379" s="66">
        <v>7924.19</v>
      </c>
      <c r="D379" s="66">
        <v>9083.39</v>
      </c>
      <c r="E379" s="66">
        <v>10579.23</v>
      </c>
      <c r="F379" s="66">
        <v>10909.36</v>
      </c>
      <c r="G379" s="66">
        <v>13600.99</v>
      </c>
      <c r="H379" s="67">
        <v>21701.48</v>
      </c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</row>
    <row r="380" spans="1:28" ht="12.75" customHeight="1">
      <c r="A380" s="71">
        <v>180.5</v>
      </c>
      <c r="B380" s="72">
        <v>7576.86</v>
      </c>
      <c r="C380" s="73">
        <v>7945.53</v>
      </c>
      <c r="D380" s="73">
        <v>9107.17</v>
      </c>
      <c r="E380" s="73">
        <v>10608.26</v>
      </c>
      <c r="F380" s="73">
        <v>10939.54</v>
      </c>
      <c r="G380" s="73">
        <v>13637.28</v>
      </c>
      <c r="H380" s="74">
        <v>21762.080000000002</v>
      </c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</row>
    <row r="381" spans="1:28" ht="12.75" customHeight="1">
      <c r="A381" s="65">
        <v>181</v>
      </c>
      <c r="B381" s="75">
        <v>7598.26</v>
      </c>
      <c r="C381" s="66">
        <v>7966.87</v>
      </c>
      <c r="D381" s="66">
        <v>9130.9500000000007</v>
      </c>
      <c r="E381" s="66">
        <v>10637.29</v>
      </c>
      <c r="F381" s="66">
        <v>10969.71</v>
      </c>
      <c r="G381" s="66">
        <v>13673.56</v>
      </c>
      <c r="H381" s="67">
        <v>21822.68</v>
      </c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</row>
    <row r="382" spans="1:28" ht="12.75" customHeight="1">
      <c r="A382" s="71">
        <v>181.5</v>
      </c>
      <c r="B382" s="72">
        <v>7619.67</v>
      </c>
      <c r="C382" s="73">
        <v>7988.21</v>
      </c>
      <c r="D382" s="73">
        <v>9154.73</v>
      </c>
      <c r="E382" s="73">
        <v>10666.31</v>
      </c>
      <c r="F382" s="73">
        <v>10999.89</v>
      </c>
      <c r="G382" s="73">
        <v>13709.85</v>
      </c>
      <c r="H382" s="74">
        <v>21883.279999999999</v>
      </c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  <c r="AB382" s="48"/>
    </row>
    <row r="383" spans="1:28" ht="12.75" customHeight="1">
      <c r="A383" s="65">
        <v>182</v>
      </c>
      <c r="B383" s="75">
        <v>7641.07</v>
      </c>
      <c r="C383" s="66">
        <v>8009.56</v>
      </c>
      <c r="D383" s="66">
        <v>9178.51</v>
      </c>
      <c r="E383" s="66">
        <v>10695.34</v>
      </c>
      <c r="F383" s="66">
        <v>11030.07</v>
      </c>
      <c r="G383" s="66">
        <v>13746.13</v>
      </c>
      <c r="H383" s="67">
        <v>21943.88</v>
      </c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</row>
    <row r="384" spans="1:28" ht="12.75" customHeight="1">
      <c r="A384" s="71">
        <v>182.5</v>
      </c>
      <c r="B384" s="72">
        <v>7662.47</v>
      </c>
      <c r="C384" s="73">
        <v>8030.9</v>
      </c>
      <c r="D384" s="73">
        <v>9202.2900000000009</v>
      </c>
      <c r="E384" s="73">
        <v>10724.37</v>
      </c>
      <c r="F384" s="73">
        <v>11060.24</v>
      </c>
      <c r="G384" s="73">
        <v>13782.42</v>
      </c>
      <c r="H384" s="74">
        <v>22004.47</v>
      </c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</row>
    <row r="385" spans="1:28" ht="12.75" customHeight="1">
      <c r="A385" s="65">
        <v>183</v>
      </c>
      <c r="B385" s="75">
        <v>7683.87</v>
      </c>
      <c r="C385" s="66">
        <v>8052.24</v>
      </c>
      <c r="D385" s="66">
        <v>9226.07</v>
      </c>
      <c r="E385" s="66">
        <v>10753.4</v>
      </c>
      <c r="F385" s="66">
        <v>11090.42</v>
      </c>
      <c r="G385" s="66">
        <v>13818.7</v>
      </c>
      <c r="H385" s="67">
        <v>22065.07</v>
      </c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</row>
    <row r="386" spans="1:28" ht="12.75" customHeight="1">
      <c r="A386" s="71">
        <v>183.5</v>
      </c>
      <c r="B386" s="72">
        <v>7705.27</v>
      </c>
      <c r="C386" s="73">
        <v>8073.58</v>
      </c>
      <c r="D386" s="73">
        <v>9249.85</v>
      </c>
      <c r="E386" s="73">
        <v>10782.43</v>
      </c>
      <c r="F386" s="73">
        <v>11120.59</v>
      </c>
      <c r="G386" s="73">
        <v>13854.99</v>
      </c>
      <c r="H386" s="74">
        <v>22125.67</v>
      </c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  <c r="AB386" s="48"/>
    </row>
    <row r="387" spans="1:28" ht="12.75" customHeight="1">
      <c r="A387" s="65">
        <v>184</v>
      </c>
      <c r="B387" s="75">
        <v>7726.68</v>
      </c>
      <c r="C387" s="66">
        <v>8094.92</v>
      </c>
      <c r="D387" s="66">
        <v>9273.6299999999992</v>
      </c>
      <c r="E387" s="66">
        <v>10811.45</v>
      </c>
      <c r="F387" s="66">
        <v>11150.77</v>
      </c>
      <c r="G387" s="66">
        <v>13891.27</v>
      </c>
      <c r="H387" s="67">
        <v>22186.27</v>
      </c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</row>
    <row r="388" spans="1:28" ht="12.75" customHeight="1">
      <c r="A388" s="71">
        <v>184.5</v>
      </c>
      <c r="B388" s="72">
        <v>7748.08</v>
      </c>
      <c r="C388" s="73">
        <v>8116.26</v>
      </c>
      <c r="D388" s="73">
        <v>9297.41</v>
      </c>
      <c r="E388" s="73">
        <v>10840.48</v>
      </c>
      <c r="F388" s="73">
        <v>11180.95</v>
      </c>
      <c r="G388" s="73">
        <v>13927.56</v>
      </c>
      <c r="H388" s="74">
        <v>22246.87</v>
      </c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  <c r="AB388" s="48"/>
    </row>
    <row r="389" spans="1:28" ht="12.75" customHeight="1">
      <c r="A389" s="65">
        <v>185</v>
      </c>
      <c r="B389" s="75">
        <v>7769.48</v>
      </c>
      <c r="C389" s="66">
        <v>8137.6</v>
      </c>
      <c r="D389" s="66">
        <v>9321.19</v>
      </c>
      <c r="E389" s="66">
        <v>10869.51</v>
      </c>
      <c r="F389" s="66">
        <v>11211.12</v>
      </c>
      <c r="G389" s="66">
        <v>13963.84</v>
      </c>
      <c r="H389" s="67">
        <v>22307.46</v>
      </c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</row>
    <row r="390" spans="1:28" ht="12.75" customHeight="1">
      <c r="A390" s="71">
        <v>185.5</v>
      </c>
      <c r="B390" s="72">
        <v>7790.88</v>
      </c>
      <c r="C390" s="73">
        <v>8158.94</v>
      </c>
      <c r="D390" s="73">
        <v>9344.9699999999993</v>
      </c>
      <c r="E390" s="73">
        <v>10898.54</v>
      </c>
      <c r="F390" s="73">
        <v>11241.3</v>
      </c>
      <c r="G390" s="73">
        <v>14000.13</v>
      </c>
      <c r="H390" s="74">
        <v>22368.06</v>
      </c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</row>
    <row r="391" spans="1:28" ht="12.75" customHeight="1">
      <c r="A391" s="65">
        <v>186</v>
      </c>
      <c r="B391" s="75">
        <v>7812.28</v>
      </c>
      <c r="C391" s="66">
        <v>8180.28</v>
      </c>
      <c r="D391" s="66">
        <v>9368.75</v>
      </c>
      <c r="E391" s="66">
        <v>10927.57</v>
      </c>
      <c r="F391" s="66">
        <v>11271.47</v>
      </c>
      <c r="G391" s="66">
        <v>14036.41</v>
      </c>
      <c r="H391" s="67">
        <v>22428.66</v>
      </c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</row>
    <row r="392" spans="1:28" ht="12.75" customHeight="1">
      <c r="A392" s="71">
        <v>186.5</v>
      </c>
      <c r="B392" s="72">
        <v>7833.69</v>
      </c>
      <c r="C392" s="73">
        <v>8201.6200000000008</v>
      </c>
      <c r="D392" s="73">
        <v>9392.5300000000007</v>
      </c>
      <c r="E392" s="73">
        <v>10956.59</v>
      </c>
      <c r="F392" s="73">
        <v>11301.65</v>
      </c>
      <c r="G392" s="73">
        <v>14072.7</v>
      </c>
      <c r="H392" s="74">
        <v>22489.26</v>
      </c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</row>
    <row r="393" spans="1:28" ht="12.75" customHeight="1">
      <c r="A393" s="65">
        <v>187</v>
      </c>
      <c r="B393" s="75">
        <v>7855.09</v>
      </c>
      <c r="C393" s="66">
        <v>8222.9599999999991</v>
      </c>
      <c r="D393" s="66">
        <v>9416.31</v>
      </c>
      <c r="E393" s="66">
        <v>10985.62</v>
      </c>
      <c r="F393" s="66">
        <v>11331.83</v>
      </c>
      <c r="G393" s="66">
        <v>14108.98</v>
      </c>
      <c r="H393" s="67">
        <v>22549.86</v>
      </c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</row>
    <row r="394" spans="1:28" ht="12.75" customHeight="1">
      <c r="A394" s="71">
        <v>187.5</v>
      </c>
      <c r="B394" s="72">
        <v>7876.49</v>
      </c>
      <c r="C394" s="73">
        <v>8244.2999999999993</v>
      </c>
      <c r="D394" s="73">
        <v>9440.09</v>
      </c>
      <c r="E394" s="73">
        <v>11014.65</v>
      </c>
      <c r="F394" s="73">
        <v>11362</v>
      </c>
      <c r="G394" s="73">
        <v>14145.27</v>
      </c>
      <c r="H394" s="74">
        <v>22610.45</v>
      </c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  <c r="AB394" s="48"/>
    </row>
    <row r="395" spans="1:28" ht="12.75" customHeight="1">
      <c r="A395" s="65">
        <v>188</v>
      </c>
      <c r="B395" s="75">
        <v>7897.89</v>
      </c>
      <c r="C395" s="66">
        <v>8265.64</v>
      </c>
      <c r="D395" s="66">
        <v>9463.8700000000008</v>
      </c>
      <c r="E395" s="66">
        <v>11043.68</v>
      </c>
      <c r="F395" s="66">
        <v>11392.18</v>
      </c>
      <c r="G395" s="66">
        <v>14181.55</v>
      </c>
      <c r="H395" s="67">
        <v>22671.05</v>
      </c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</row>
    <row r="396" spans="1:28" ht="12.75" customHeight="1">
      <c r="A396" s="71">
        <v>188.5</v>
      </c>
      <c r="B396" s="72">
        <v>7919.29</v>
      </c>
      <c r="C396" s="73">
        <v>8286.98</v>
      </c>
      <c r="D396" s="73">
        <v>9487.65</v>
      </c>
      <c r="E396" s="73">
        <v>11072.71</v>
      </c>
      <c r="F396" s="73">
        <v>11422.35</v>
      </c>
      <c r="G396" s="73">
        <v>14217.84</v>
      </c>
      <c r="H396" s="74">
        <v>22731.65</v>
      </c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</row>
    <row r="397" spans="1:28" ht="12.75" customHeight="1">
      <c r="A397" s="65">
        <v>189</v>
      </c>
      <c r="B397" s="75">
        <v>7940.7</v>
      </c>
      <c r="C397" s="66">
        <v>8308.32</v>
      </c>
      <c r="D397" s="66">
        <v>9511.43</v>
      </c>
      <c r="E397" s="66">
        <v>11101.73</v>
      </c>
      <c r="F397" s="66">
        <v>11452.53</v>
      </c>
      <c r="G397" s="66">
        <v>14254.12</v>
      </c>
      <c r="H397" s="67">
        <v>22792.25</v>
      </c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</row>
    <row r="398" spans="1:28" ht="12.75" customHeight="1">
      <c r="A398" s="71">
        <v>189.5</v>
      </c>
      <c r="B398" s="72">
        <v>7962.1</v>
      </c>
      <c r="C398" s="73">
        <v>8329.66</v>
      </c>
      <c r="D398" s="73">
        <v>9535.2099999999991</v>
      </c>
      <c r="E398" s="73">
        <v>11130.76</v>
      </c>
      <c r="F398" s="73">
        <v>11482.71</v>
      </c>
      <c r="G398" s="73">
        <v>14290.41</v>
      </c>
      <c r="H398" s="74">
        <v>22852.85</v>
      </c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  <c r="AB398" s="48"/>
    </row>
    <row r="399" spans="1:28" ht="12.75" customHeight="1">
      <c r="A399" s="65">
        <v>190</v>
      </c>
      <c r="B399" s="75">
        <v>7983.5</v>
      </c>
      <c r="C399" s="66">
        <v>8351</v>
      </c>
      <c r="D399" s="66">
        <v>9558.99</v>
      </c>
      <c r="E399" s="66">
        <v>11159.79</v>
      </c>
      <c r="F399" s="66">
        <v>11512.88</v>
      </c>
      <c r="G399" s="66">
        <v>14326.69</v>
      </c>
      <c r="H399" s="67">
        <v>22913.439999999999</v>
      </c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</row>
    <row r="400" spans="1:28" ht="12.75" customHeight="1">
      <c r="A400" s="71">
        <v>190.5</v>
      </c>
      <c r="B400" s="72">
        <v>8004.9</v>
      </c>
      <c r="C400" s="73">
        <v>8372.34</v>
      </c>
      <c r="D400" s="73">
        <v>9582.77</v>
      </c>
      <c r="E400" s="73">
        <v>11188.82</v>
      </c>
      <c r="F400" s="73">
        <v>11543.06</v>
      </c>
      <c r="G400" s="73">
        <v>14362.98</v>
      </c>
      <c r="H400" s="74">
        <v>22974.04</v>
      </c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48"/>
    </row>
    <row r="401" spans="1:28" ht="12.75" customHeight="1">
      <c r="A401" s="65">
        <v>191</v>
      </c>
      <c r="B401" s="75">
        <v>8026.3</v>
      </c>
      <c r="C401" s="66">
        <v>8393.68</v>
      </c>
      <c r="D401" s="66">
        <v>9606.5499999999993</v>
      </c>
      <c r="E401" s="66">
        <v>11217.85</v>
      </c>
      <c r="F401" s="66">
        <v>11573.23</v>
      </c>
      <c r="G401" s="66">
        <v>14399.26</v>
      </c>
      <c r="H401" s="67">
        <v>23034.639999999999</v>
      </c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</row>
    <row r="402" spans="1:28" ht="12.75" customHeight="1">
      <c r="A402" s="71">
        <v>191.5</v>
      </c>
      <c r="B402" s="72">
        <v>8047.71</v>
      </c>
      <c r="C402" s="73">
        <v>8415.02</v>
      </c>
      <c r="D402" s="73">
        <v>9630.33</v>
      </c>
      <c r="E402" s="73">
        <v>11246.87</v>
      </c>
      <c r="F402" s="73">
        <v>11603.41</v>
      </c>
      <c r="G402" s="73">
        <v>14435.55</v>
      </c>
      <c r="H402" s="74">
        <v>23095.24</v>
      </c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</row>
    <row r="403" spans="1:28" ht="12.75" customHeight="1">
      <c r="A403" s="65">
        <v>192</v>
      </c>
      <c r="B403" s="75">
        <v>8069.11</v>
      </c>
      <c r="C403" s="66">
        <v>8436.3700000000008</v>
      </c>
      <c r="D403" s="66">
        <v>9654.11</v>
      </c>
      <c r="E403" s="66">
        <v>11275.9</v>
      </c>
      <c r="F403" s="66">
        <v>11633.59</v>
      </c>
      <c r="G403" s="66">
        <v>14471.83</v>
      </c>
      <c r="H403" s="67">
        <v>23155.84</v>
      </c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</row>
    <row r="404" spans="1:28" ht="12.75" customHeight="1">
      <c r="A404" s="71">
        <v>192.5</v>
      </c>
      <c r="B404" s="72">
        <v>8090.51</v>
      </c>
      <c r="C404" s="73">
        <v>8457.7099999999991</v>
      </c>
      <c r="D404" s="73">
        <v>9677.89</v>
      </c>
      <c r="E404" s="73">
        <v>11304.93</v>
      </c>
      <c r="F404" s="73">
        <v>11663.76</v>
      </c>
      <c r="G404" s="73">
        <v>14508.12</v>
      </c>
      <c r="H404" s="74">
        <v>23216.43</v>
      </c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</row>
    <row r="405" spans="1:28" ht="12.75" customHeight="1">
      <c r="A405" s="65">
        <v>193</v>
      </c>
      <c r="B405" s="75">
        <v>8111.91</v>
      </c>
      <c r="C405" s="66">
        <v>8479.0499999999993</v>
      </c>
      <c r="D405" s="66">
        <v>9701.67</v>
      </c>
      <c r="E405" s="66">
        <v>11333.96</v>
      </c>
      <c r="F405" s="66">
        <v>11693.94</v>
      </c>
      <c r="G405" s="66">
        <v>14544.4</v>
      </c>
      <c r="H405" s="67">
        <v>23277.03</v>
      </c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</row>
    <row r="406" spans="1:28" ht="12.75" customHeight="1">
      <c r="A406" s="71">
        <v>193.5</v>
      </c>
      <c r="B406" s="72">
        <v>8133.31</v>
      </c>
      <c r="C406" s="73">
        <v>8500.39</v>
      </c>
      <c r="D406" s="73">
        <v>9725.4500000000007</v>
      </c>
      <c r="E406" s="73">
        <v>11362.99</v>
      </c>
      <c r="F406" s="73">
        <v>11724.11</v>
      </c>
      <c r="G406" s="73">
        <v>14580.69</v>
      </c>
      <c r="H406" s="74">
        <v>23337.63</v>
      </c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  <c r="AB406" s="48"/>
    </row>
    <row r="407" spans="1:28" ht="12.75" customHeight="1">
      <c r="A407" s="65">
        <v>194</v>
      </c>
      <c r="B407" s="75">
        <v>8154.72</v>
      </c>
      <c r="C407" s="66">
        <v>8521.73</v>
      </c>
      <c r="D407" s="66">
        <v>9749.23</v>
      </c>
      <c r="E407" s="66">
        <v>11392.01</v>
      </c>
      <c r="F407" s="66">
        <v>11754.29</v>
      </c>
      <c r="G407" s="66">
        <v>14616.97</v>
      </c>
      <c r="H407" s="67">
        <v>23398.23</v>
      </c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</row>
    <row r="408" spans="1:28" ht="12.75" customHeight="1">
      <c r="A408" s="71">
        <v>194.5</v>
      </c>
      <c r="B408" s="72">
        <v>8176.12</v>
      </c>
      <c r="C408" s="73">
        <v>8543.07</v>
      </c>
      <c r="D408" s="73">
        <v>9773.01</v>
      </c>
      <c r="E408" s="73">
        <v>11421.04</v>
      </c>
      <c r="F408" s="73">
        <v>11784.47</v>
      </c>
      <c r="G408" s="73">
        <v>14653.26</v>
      </c>
      <c r="H408" s="74">
        <v>23458.83</v>
      </c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</row>
    <row r="409" spans="1:28" ht="12.75" customHeight="1">
      <c r="A409" s="65">
        <v>195</v>
      </c>
      <c r="B409" s="75">
        <v>8197.52</v>
      </c>
      <c r="C409" s="66">
        <v>8564.41</v>
      </c>
      <c r="D409" s="66">
        <v>9796.7900000000009</v>
      </c>
      <c r="E409" s="66">
        <v>11450.07</v>
      </c>
      <c r="F409" s="66">
        <v>11814.64</v>
      </c>
      <c r="G409" s="66">
        <v>14689.54</v>
      </c>
      <c r="H409" s="67">
        <v>23519.42</v>
      </c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</row>
    <row r="410" spans="1:28" ht="12.75" customHeight="1">
      <c r="A410" s="71">
        <v>195.5</v>
      </c>
      <c r="B410" s="72">
        <v>8218.92</v>
      </c>
      <c r="C410" s="73">
        <v>8585.75</v>
      </c>
      <c r="D410" s="73">
        <v>9820.57</v>
      </c>
      <c r="E410" s="73">
        <v>11479.1</v>
      </c>
      <c r="F410" s="73">
        <v>11844.82</v>
      </c>
      <c r="G410" s="73">
        <v>14725.83</v>
      </c>
      <c r="H410" s="74">
        <v>23580.02</v>
      </c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  <c r="AB410" s="48"/>
    </row>
    <row r="411" spans="1:28" ht="12.75" customHeight="1">
      <c r="A411" s="65">
        <v>196</v>
      </c>
      <c r="B411" s="75">
        <v>8240.32</v>
      </c>
      <c r="C411" s="66">
        <v>8607.09</v>
      </c>
      <c r="D411" s="66">
        <v>9844.35</v>
      </c>
      <c r="E411" s="66">
        <v>11508.13</v>
      </c>
      <c r="F411" s="66">
        <v>11874.99</v>
      </c>
      <c r="G411" s="66">
        <v>14762.11</v>
      </c>
      <c r="H411" s="67">
        <v>23640.62</v>
      </c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</row>
    <row r="412" spans="1:28" ht="12.75" customHeight="1">
      <c r="A412" s="71">
        <v>196.5</v>
      </c>
      <c r="B412" s="72">
        <v>8261.73</v>
      </c>
      <c r="C412" s="73">
        <v>8628.43</v>
      </c>
      <c r="D412" s="73">
        <v>9868.1299999999992</v>
      </c>
      <c r="E412" s="73">
        <v>11537.15</v>
      </c>
      <c r="F412" s="73">
        <v>11905.17</v>
      </c>
      <c r="G412" s="73">
        <v>14798.4</v>
      </c>
      <c r="H412" s="74">
        <v>23701.22</v>
      </c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  <c r="AB412" s="48"/>
    </row>
    <row r="413" spans="1:28" ht="12.75" customHeight="1">
      <c r="A413" s="65">
        <v>197</v>
      </c>
      <c r="B413" s="75">
        <v>8283.1299999999992</v>
      </c>
      <c r="C413" s="66">
        <v>8649.77</v>
      </c>
      <c r="D413" s="66">
        <v>9891.91</v>
      </c>
      <c r="E413" s="66">
        <v>11566.18</v>
      </c>
      <c r="F413" s="66">
        <v>11935.35</v>
      </c>
      <c r="G413" s="66">
        <v>14834.68</v>
      </c>
      <c r="H413" s="67">
        <v>23761.82</v>
      </c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</row>
    <row r="414" spans="1:28" ht="12.75" customHeight="1">
      <c r="A414" s="71">
        <v>197.5</v>
      </c>
      <c r="B414" s="72">
        <v>8304.5300000000007</v>
      </c>
      <c r="C414" s="73">
        <v>8671.11</v>
      </c>
      <c r="D414" s="73">
        <v>9915.69</v>
      </c>
      <c r="E414" s="73">
        <v>11595.21</v>
      </c>
      <c r="F414" s="73">
        <v>11965.52</v>
      </c>
      <c r="G414" s="73">
        <v>14870.97</v>
      </c>
      <c r="H414" s="74">
        <v>23822.41</v>
      </c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</row>
    <row r="415" spans="1:28" ht="12.75" customHeight="1">
      <c r="A415" s="65">
        <v>198</v>
      </c>
      <c r="B415" s="75">
        <v>8325.93</v>
      </c>
      <c r="C415" s="66">
        <v>8692.4500000000007</v>
      </c>
      <c r="D415" s="66">
        <v>9939.4699999999993</v>
      </c>
      <c r="E415" s="66">
        <v>11624.24</v>
      </c>
      <c r="F415" s="66">
        <v>11995.7</v>
      </c>
      <c r="G415" s="66">
        <v>14907.25</v>
      </c>
      <c r="H415" s="67">
        <v>23883.01</v>
      </c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</row>
    <row r="416" spans="1:28" ht="12.75" customHeight="1">
      <c r="A416" s="71">
        <v>198.5</v>
      </c>
      <c r="B416" s="72">
        <v>8347.33</v>
      </c>
      <c r="C416" s="73">
        <v>8713.7900000000009</v>
      </c>
      <c r="D416" s="73">
        <v>9963.25</v>
      </c>
      <c r="E416" s="73">
        <v>11653.27</v>
      </c>
      <c r="F416" s="73">
        <v>12025.87</v>
      </c>
      <c r="G416" s="73">
        <v>14943.54</v>
      </c>
      <c r="H416" s="74">
        <v>23943.61</v>
      </c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</row>
    <row r="417" spans="1:28" ht="12.75" customHeight="1">
      <c r="A417" s="65">
        <v>199</v>
      </c>
      <c r="B417" s="75">
        <v>8368.74</v>
      </c>
      <c r="C417" s="66">
        <v>8735.1299999999992</v>
      </c>
      <c r="D417" s="66">
        <v>9987.0300000000007</v>
      </c>
      <c r="E417" s="66">
        <v>11682.29</v>
      </c>
      <c r="F417" s="66">
        <v>12056.05</v>
      </c>
      <c r="G417" s="66">
        <v>14979.82</v>
      </c>
      <c r="H417" s="67">
        <v>24004.21</v>
      </c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</row>
    <row r="418" spans="1:28" ht="12.75" customHeight="1">
      <c r="A418" s="71">
        <v>199.5</v>
      </c>
      <c r="B418" s="72">
        <v>8390.14</v>
      </c>
      <c r="C418" s="73">
        <v>8756.4699999999993</v>
      </c>
      <c r="D418" s="73">
        <v>10010.81</v>
      </c>
      <c r="E418" s="73">
        <v>11711.32</v>
      </c>
      <c r="F418" s="73">
        <v>12086.23</v>
      </c>
      <c r="G418" s="73">
        <v>15016.11</v>
      </c>
      <c r="H418" s="74">
        <v>24064.81</v>
      </c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</row>
    <row r="419" spans="1:28" ht="12.75" customHeight="1">
      <c r="A419" s="65">
        <v>200</v>
      </c>
      <c r="B419" s="75">
        <v>8411.5400000000009</v>
      </c>
      <c r="C419" s="66">
        <v>8777.81</v>
      </c>
      <c r="D419" s="66">
        <v>10034.59</v>
      </c>
      <c r="E419" s="66">
        <v>11740.35</v>
      </c>
      <c r="F419" s="66">
        <v>12116.4</v>
      </c>
      <c r="G419" s="66">
        <v>15052.39</v>
      </c>
      <c r="H419" s="67">
        <v>24125.4</v>
      </c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</row>
    <row r="420" spans="1:28" ht="12.75" customHeight="1">
      <c r="A420" s="71">
        <v>200.5</v>
      </c>
      <c r="B420" s="72">
        <v>8432.94</v>
      </c>
      <c r="C420" s="73">
        <v>8799.15</v>
      </c>
      <c r="D420" s="73">
        <v>10058.370000000001</v>
      </c>
      <c r="E420" s="73">
        <v>11769.38</v>
      </c>
      <c r="F420" s="73">
        <v>12146.58</v>
      </c>
      <c r="G420" s="73">
        <v>15088.68</v>
      </c>
      <c r="H420" s="74">
        <v>24186</v>
      </c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</row>
    <row r="421" spans="1:28" ht="12.75" customHeight="1">
      <c r="A421" s="65">
        <v>201</v>
      </c>
      <c r="B421" s="75">
        <v>8454.34</v>
      </c>
      <c r="C421" s="66">
        <v>8820.49</v>
      </c>
      <c r="D421" s="66">
        <v>10082.15</v>
      </c>
      <c r="E421" s="66">
        <v>11798.41</v>
      </c>
      <c r="F421" s="66">
        <v>12176.75</v>
      </c>
      <c r="G421" s="66">
        <v>15124.96</v>
      </c>
      <c r="H421" s="67">
        <v>24246.6</v>
      </c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</row>
    <row r="422" spans="1:28" ht="12.75" customHeight="1">
      <c r="A422" s="71">
        <v>201.5</v>
      </c>
      <c r="B422" s="72">
        <v>8475.75</v>
      </c>
      <c r="C422" s="73">
        <v>8841.83</v>
      </c>
      <c r="D422" s="73">
        <v>10105.93</v>
      </c>
      <c r="E422" s="73">
        <v>11827.43</v>
      </c>
      <c r="F422" s="73">
        <v>12206.93</v>
      </c>
      <c r="G422" s="73">
        <v>15161.25</v>
      </c>
      <c r="H422" s="74">
        <v>24307.200000000001</v>
      </c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</row>
    <row r="423" spans="1:28" ht="12.75" customHeight="1">
      <c r="A423" s="65">
        <v>202</v>
      </c>
      <c r="B423" s="75">
        <v>8497.15</v>
      </c>
      <c r="C423" s="66">
        <v>8863.18</v>
      </c>
      <c r="D423" s="66">
        <v>10129.709999999999</v>
      </c>
      <c r="E423" s="66">
        <v>11856.46</v>
      </c>
      <c r="F423" s="66">
        <v>12237.11</v>
      </c>
      <c r="G423" s="66">
        <v>15197.53</v>
      </c>
      <c r="H423" s="67">
        <v>24367.8</v>
      </c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</row>
    <row r="424" spans="1:28" ht="12.75" customHeight="1">
      <c r="A424" s="71">
        <v>202.5</v>
      </c>
      <c r="B424" s="72">
        <v>8518.5499999999993</v>
      </c>
      <c r="C424" s="73">
        <v>8884.52</v>
      </c>
      <c r="D424" s="73">
        <v>10153.49</v>
      </c>
      <c r="E424" s="73">
        <v>11885.49</v>
      </c>
      <c r="F424" s="73">
        <v>12267.28</v>
      </c>
      <c r="G424" s="73">
        <v>15233.82</v>
      </c>
      <c r="H424" s="74">
        <v>24428.39</v>
      </c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</row>
    <row r="425" spans="1:28" ht="12.75" customHeight="1">
      <c r="A425" s="65">
        <v>203</v>
      </c>
      <c r="B425" s="75">
        <v>8539.9500000000007</v>
      </c>
      <c r="C425" s="66">
        <v>8905.86</v>
      </c>
      <c r="D425" s="66">
        <v>10177.27</v>
      </c>
      <c r="E425" s="66">
        <v>11914.52</v>
      </c>
      <c r="F425" s="66">
        <v>12297.46</v>
      </c>
      <c r="G425" s="66">
        <v>15270.1</v>
      </c>
      <c r="H425" s="67">
        <v>24488.99</v>
      </c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</row>
    <row r="426" spans="1:28" ht="12.75" customHeight="1">
      <c r="A426" s="71">
        <v>203.5</v>
      </c>
      <c r="B426" s="72">
        <v>8561.35</v>
      </c>
      <c r="C426" s="73">
        <v>8927.2000000000007</v>
      </c>
      <c r="D426" s="73">
        <v>10201.049999999999</v>
      </c>
      <c r="E426" s="73">
        <v>11943.55</v>
      </c>
      <c r="F426" s="73">
        <v>12327.63</v>
      </c>
      <c r="G426" s="73">
        <v>15306.39</v>
      </c>
      <c r="H426" s="74">
        <v>24549.59</v>
      </c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</row>
    <row r="427" spans="1:28" ht="12.75" customHeight="1">
      <c r="A427" s="65">
        <v>204</v>
      </c>
      <c r="B427" s="75">
        <v>8582.76</v>
      </c>
      <c r="C427" s="66">
        <v>8948.5400000000009</v>
      </c>
      <c r="D427" s="66">
        <v>10224.83</v>
      </c>
      <c r="E427" s="66">
        <v>11972.57</v>
      </c>
      <c r="F427" s="66">
        <v>12357.81</v>
      </c>
      <c r="G427" s="66">
        <v>15342.67</v>
      </c>
      <c r="H427" s="67">
        <v>24610.19</v>
      </c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</row>
    <row r="428" spans="1:28" ht="12.75" customHeight="1">
      <c r="A428" s="71">
        <v>204.5</v>
      </c>
      <c r="B428" s="72">
        <v>8604.16</v>
      </c>
      <c r="C428" s="73">
        <v>8969.8799999999992</v>
      </c>
      <c r="D428" s="73">
        <v>10248.61</v>
      </c>
      <c r="E428" s="73">
        <v>12001.6</v>
      </c>
      <c r="F428" s="73">
        <v>12387.99</v>
      </c>
      <c r="G428" s="73">
        <v>15378.96</v>
      </c>
      <c r="H428" s="74">
        <v>24670.79</v>
      </c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</row>
    <row r="429" spans="1:28" ht="12.75" customHeight="1">
      <c r="A429" s="65">
        <v>205</v>
      </c>
      <c r="B429" s="75">
        <v>8625.56</v>
      </c>
      <c r="C429" s="66">
        <v>8991.2199999999993</v>
      </c>
      <c r="D429" s="66">
        <v>10272.39</v>
      </c>
      <c r="E429" s="66">
        <v>12030.63</v>
      </c>
      <c r="F429" s="66">
        <v>12418.16</v>
      </c>
      <c r="G429" s="66">
        <v>15415.24</v>
      </c>
      <c r="H429" s="67">
        <v>24731.38</v>
      </c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</row>
    <row r="430" spans="1:28" ht="12.75" customHeight="1">
      <c r="A430" s="71">
        <v>205.5</v>
      </c>
      <c r="B430" s="72">
        <v>8646.9599999999991</v>
      </c>
      <c r="C430" s="73">
        <v>9012.56</v>
      </c>
      <c r="D430" s="73">
        <v>10296.17</v>
      </c>
      <c r="E430" s="73">
        <v>12059.66</v>
      </c>
      <c r="F430" s="73">
        <v>12448.34</v>
      </c>
      <c r="G430" s="73">
        <v>15451.53</v>
      </c>
      <c r="H430" s="74">
        <v>24791.98</v>
      </c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</row>
    <row r="431" spans="1:28" ht="12.75" customHeight="1">
      <c r="A431" s="65">
        <v>206</v>
      </c>
      <c r="B431" s="75">
        <v>8668.36</v>
      </c>
      <c r="C431" s="66">
        <v>9033.9</v>
      </c>
      <c r="D431" s="66">
        <v>10319.950000000001</v>
      </c>
      <c r="E431" s="66">
        <v>12088.69</v>
      </c>
      <c r="F431" s="66">
        <v>12478.51</v>
      </c>
      <c r="G431" s="66">
        <v>15487.81</v>
      </c>
      <c r="H431" s="67">
        <v>24852.58</v>
      </c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</row>
    <row r="432" spans="1:28" ht="12.75" customHeight="1">
      <c r="A432" s="71">
        <v>206.5</v>
      </c>
      <c r="B432" s="72">
        <v>8689.77</v>
      </c>
      <c r="C432" s="73">
        <v>9055.24</v>
      </c>
      <c r="D432" s="73">
        <v>10343.73</v>
      </c>
      <c r="E432" s="73">
        <v>12117.71</v>
      </c>
      <c r="F432" s="73">
        <v>12508.69</v>
      </c>
      <c r="G432" s="73">
        <v>15524.1</v>
      </c>
      <c r="H432" s="74">
        <v>24913.18</v>
      </c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</row>
    <row r="433" spans="1:28" ht="12.75" customHeight="1">
      <c r="A433" s="65">
        <v>207</v>
      </c>
      <c r="B433" s="75">
        <v>8711.17</v>
      </c>
      <c r="C433" s="66">
        <v>9076.58</v>
      </c>
      <c r="D433" s="66">
        <v>10367.51</v>
      </c>
      <c r="E433" s="66">
        <v>12146.74</v>
      </c>
      <c r="F433" s="66">
        <v>12538.87</v>
      </c>
      <c r="G433" s="66">
        <v>15560.38</v>
      </c>
      <c r="H433" s="67">
        <v>24973.78</v>
      </c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</row>
    <row r="434" spans="1:28" ht="12.75" customHeight="1">
      <c r="A434" s="71">
        <v>207.5</v>
      </c>
      <c r="B434" s="72">
        <v>8732.57</v>
      </c>
      <c r="C434" s="73">
        <v>9097.92</v>
      </c>
      <c r="D434" s="73">
        <v>10391.290000000001</v>
      </c>
      <c r="E434" s="73">
        <v>12175.77</v>
      </c>
      <c r="F434" s="73">
        <v>12569.04</v>
      </c>
      <c r="G434" s="73">
        <v>15596.67</v>
      </c>
      <c r="H434" s="74">
        <v>25034.37</v>
      </c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</row>
    <row r="435" spans="1:28" ht="12.75" customHeight="1">
      <c r="A435" s="65">
        <v>208</v>
      </c>
      <c r="B435" s="75">
        <v>8753.9699999999993</v>
      </c>
      <c r="C435" s="66">
        <v>9119.26</v>
      </c>
      <c r="D435" s="66">
        <v>10415.07</v>
      </c>
      <c r="E435" s="66">
        <v>12204.8</v>
      </c>
      <c r="F435" s="66">
        <v>12599.22</v>
      </c>
      <c r="G435" s="66">
        <v>15632.95</v>
      </c>
      <c r="H435" s="67">
        <v>25094.97</v>
      </c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</row>
    <row r="436" spans="1:28" ht="12.75" customHeight="1">
      <c r="A436" s="71">
        <v>208.5</v>
      </c>
      <c r="B436" s="72">
        <v>8775.3700000000008</v>
      </c>
      <c r="C436" s="73">
        <v>9140.6</v>
      </c>
      <c r="D436" s="73">
        <v>10438.85</v>
      </c>
      <c r="E436" s="73">
        <v>12233.83</v>
      </c>
      <c r="F436" s="73">
        <v>12629.39</v>
      </c>
      <c r="G436" s="73">
        <v>15669.24</v>
      </c>
      <c r="H436" s="74">
        <v>25155.57</v>
      </c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</row>
    <row r="437" spans="1:28" ht="12.75" customHeight="1">
      <c r="A437" s="65">
        <v>209</v>
      </c>
      <c r="B437" s="75">
        <v>8796.7800000000007</v>
      </c>
      <c r="C437" s="66">
        <v>9161.94</v>
      </c>
      <c r="D437" s="66">
        <v>10462.629999999999</v>
      </c>
      <c r="E437" s="66">
        <v>12262.85</v>
      </c>
      <c r="F437" s="66">
        <v>12659.57</v>
      </c>
      <c r="G437" s="66">
        <v>15705.52</v>
      </c>
      <c r="H437" s="67">
        <v>25216.17</v>
      </c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</row>
    <row r="438" spans="1:28" ht="12.75" customHeight="1">
      <c r="A438" s="71">
        <v>209.5</v>
      </c>
      <c r="B438" s="72">
        <v>8818.18</v>
      </c>
      <c r="C438" s="73">
        <v>9183.2800000000007</v>
      </c>
      <c r="D438" s="73">
        <v>10486.41</v>
      </c>
      <c r="E438" s="73">
        <v>12291.88</v>
      </c>
      <c r="F438" s="73">
        <v>12689.75</v>
      </c>
      <c r="G438" s="73">
        <v>15741.81</v>
      </c>
      <c r="H438" s="74">
        <v>25276.77</v>
      </c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  <c r="AB438" s="48"/>
    </row>
    <row r="439" spans="1:28" ht="12.75" customHeight="1">
      <c r="A439" s="65">
        <v>210</v>
      </c>
      <c r="B439" s="75">
        <v>8839.58</v>
      </c>
      <c r="C439" s="66">
        <v>9204.6200000000008</v>
      </c>
      <c r="D439" s="66">
        <v>10510.19</v>
      </c>
      <c r="E439" s="66">
        <v>12320.91</v>
      </c>
      <c r="F439" s="66">
        <v>12719.92</v>
      </c>
      <c r="G439" s="66">
        <v>15778.09</v>
      </c>
      <c r="H439" s="67">
        <v>25337.360000000001</v>
      </c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</row>
    <row r="440" spans="1:28" ht="12.75" customHeight="1">
      <c r="A440" s="71">
        <v>210.5</v>
      </c>
      <c r="B440" s="72">
        <v>8860.98</v>
      </c>
      <c r="C440" s="73">
        <v>9225.9599999999991</v>
      </c>
      <c r="D440" s="73">
        <v>10533.97</v>
      </c>
      <c r="E440" s="73">
        <v>12349.94</v>
      </c>
      <c r="F440" s="73">
        <v>12750.1</v>
      </c>
      <c r="G440" s="73">
        <v>15814.38</v>
      </c>
      <c r="H440" s="74">
        <v>25397.96</v>
      </c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  <c r="AB440" s="48"/>
    </row>
    <row r="441" spans="1:28" ht="12.75" customHeight="1">
      <c r="A441" s="65">
        <v>211</v>
      </c>
      <c r="B441" s="75">
        <v>8882.3799999999992</v>
      </c>
      <c r="C441" s="66">
        <v>9247.2999999999993</v>
      </c>
      <c r="D441" s="66">
        <v>10557.75</v>
      </c>
      <c r="E441" s="66">
        <v>12378.97</v>
      </c>
      <c r="F441" s="66">
        <v>12780.27</v>
      </c>
      <c r="G441" s="66">
        <v>15850.66</v>
      </c>
      <c r="H441" s="67">
        <v>25458.560000000001</v>
      </c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</row>
    <row r="442" spans="1:28" ht="12.75" customHeight="1">
      <c r="A442" s="71">
        <v>211.5</v>
      </c>
      <c r="B442" s="72">
        <v>8903.7900000000009</v>
      </c>
      <c r="C442" s="73">
        <v>9268.64</v>
      </c>
      <c r="D442" s="73">
        <v>10581.53</v>
      </c>
      <c r="E442" s="73">
        <v>12407.99</v>
      </c>
      <c r="F442" s="73">
        <v>12810.45</v>
      </c>
      <c r="G442" s="73">
        <v>15886.95</v>
      </c>
      <c r="H442" s="74">
        <v>25519.16</v>
      </c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  <c r="AB442" s="48"/>
    </row>
    <row r="443" spans="1:28" ht="12.75" customHeight="1">
      <c r="A443" s="65">
        <v>212</v>
      </c>
      <c r="B443" s="75">
        <v>8925.19</v>
      </c>
      <c r="C443" s="66">
        <v>9289.99</v>
      </c>
      <c r="D443" s="66">
        <v>10605.31</v>
      </c>
      <c r="E443" s="66">
        <v>12437.02</v>
      </c>
      <c r="F443" s="66">
        <v>12840.63</v>
      </c>
      <c r="G443" s="66">
        <v>15923.23</v>
      </c>
      <c r="H443" s="67">
        <v>25579.759999999998</v>
      </c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</row>
    <row r="444" spans="1:28" ht="12.75" customHeight="1">
      <c r="A444" s="71">
        <v>212.5</v>
      </c>
      <c r="B444" s="72">
        <v>8946.59</v>
      </c>
      <c r="C444" s="73">
        <v>9311.33</v>
      </c>
      <c r="D444" s="73">
        <v>10629.09</v>
      </c>
      <c r="E444" s="73">
        <v>12466.05</v>
      </c>
      <c r="F444" s="73">
        <v>12870.8</v>
      </c>
      <c r="G444" s="73">
        <v>15959.52</v>
      </c>
      <c r="H444" s="74">
        <v>25640.35</v>
      </c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</row>
    <row r="445" spans="1:28" ht="12.75" customHeight="1">
      <c r="A445" s="65">
        <v>213</v>
      </c>
      <c r="B445" s="75">
        <v>8967.99</v>
      </c>
      <c r="C445" s="66">
        <v>9332.67</v>
      </c>
      <c r="D445" s="66">
        <v>10652.87</v>
      </c>
      <c r="E445" s="66">
        <v>12495.08</v>
      </c>
      <c r="F445" s="66">
        <v>12900.98</v>
      </c>
      <c r="G445" s="66">
        <v>15995.8</v>
      </c>
      <c r="H445" s="67">
        <v>25700.95</v>
      </c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</row>
    <row r="446" spans="1:28" ht="12.75" customHeight="1">
      <c r="A446" s="71">
        <v>213.5</v>
      </c>
      <c r="B446" s="72">
        <v>8989.39</v>
      </c>
      <c r="C446" s="73">
        <v>9354.01</v>
      </c>
      <c r="D446" s="73">
        <v>10676.65</v>
      </c>
      <c r="E446" s="73">
        <v>12524.11</v>
      </c>
      <c r="F446" s="73">
        <v>12931.15</v>
      </c>
      <c r="G446" s="73">
        <v>16032.09</v>
      </c>
      <c r="H446" s="74">
        <v>25761.55</v>
      </c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  <c r="AB446" s="48"/>
    </row>
    <row r="447" spans="1:28" ht="12.75" customHeight="1">
      <c r="A447" s="65">
        <v>214</v>
      </c>
      <c r="B447" s="75">
        <v>9010.7999999999993</v>
      </c>
      <c r="C447" s="66">
        <v>9375.35</v>
      </c>
      <c r="D447" s="66">
        <v>10700.43</v>
      </c>
      <c r="E447" s="66">
        <v>12553.13</v>
      </c>
      <c r="F447" s="66">
        <v>12961.33</v>
      </c>
      <c r="G447" s="66">
        <v>16068.37</v>
      </c>
      <c r="H447" s="67">
        <v>25822.15</v>
      </c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</row>
    <row r="448" spans="1:28" ht="12.75" customHeight="1">
      <c r="A448" s="71">
        <v>214.5</v>
      </c>
      <c r="B448" s="72">
        <v>9032.2000000000007</v>
      </c>
      <c r="C448" s="73">
        <v>9396.69</v>
      </c>
      <c r="D448" s="73">
        <v>10724.21</v>
      </c>
      <c r="E448" s="73">
        <v>12582.16</v>
      </c>
      <c r="F448" s="73">
        <v>12991.51</v>
      </c>
      <c r="G448" s="73">
        <v>16104.66</v>
      </c>
      <c r="H448" s="74">
        <v>25882.75</v>
      </c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  <c r="AB448" s="48"/>
    </row>
    <row r="449" spans="1:28" ht="12.75" customHeight="1">
      <c r="A449" s="65">
        <v>215</v>
      </c>
      <c r="B449" s="75">
        <v>9053.6</v>
      </c>
      <c r="C449" s="66">
        <v>9418.0300000000007</v>
      </c>
      <c r="D449" s="66">
        <v>10747.99</v>
      </c>
      <c r="E449" s="66">
        <v>12611.19</v>
      </c>
      <c r="F449" s="66">
        <v>13021.68</v>
      </c>
      <c r="G449" s="66">
        <v>16140.94</v>
      </c>
      <c r="H449" s="67">
        <v>25943.34</v>
      </c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</row>
    <row r="450" spans="1:28" ht="12.75" customHeight="1">
      <c r="A450" s="71">
        <v>215.5</v>
      </c>
      <c r="B450" s="72">
        <v>9075</v>
      </c>
      <c r="C450" s="73">
        <v>9439.3700000000008</v>
      </c>
      <c r="D450" s="73">
        <v>10771.77</v>
      </c>
      <c r="E450" s="73">
        <v>12640.22</v>
      </c>
      <c r="F450" s="73">
        <v>13051.86</v>
      </c>
      <c r="G450" s="73">
        <v>16177.23</v>
      </c>
      <c r="H450" s="74">
        <v>26003.94</v>
      </c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  <c r="AB450" s="48"/>
    </row>
    <row r="451" spans="1:28" ht="12.75" customHeight="1">
      <c r="A451" s="65">
        <v>216</v>
      </c>
      <c r="B451" s="75">
        <v>9096.4</v>
      </c>
      <c r="C451" s="66">
        <v>9460.7099999999991</v>
      </c>
      <c r="D451" s="66">
        <v>10795.55</v>
      </c>
      <c r="E451" s="66">
        <v>12669.25</v>
      </c>
      <c r="F451" s="66">
        <v>13082.03</v>
      </c>
      <c r="G451" s="66">
        <v>16213.51</v>
      </c>
      <c r="H451" s="67">
        <v>26064.54</v>
      </c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</row>
    <row r="452" spans="1:28" ht="12.75" customHeight="1">
      <c r="A452" s="71">
        <v>216.5</v>
      </c>
      <c r="B452" s="72">
        <v>9117.81</v>
      </c>
      <c r="C452" s="73">
        <v>9482.0499999999993</v>
      </c>
      <c r="D452" s="73">
        <v>10819.33</v>
      </c>
      <c r="E452" s="73">
        <v>12698.27</v>
      </c>
      <c r="F452" s="73">
        <v>13112.21</v>
      </c>
      <c r="G452" s="73">
        <v>16249.8</v>
      </c>
      <c r="H452" s="74">
        <v>26125.14</v>
      </c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  <c r="AB452" s="48"/>
    </row>
    <row r="453" spans="1:28" ht="12.75" customHeight="1">
      <c r="A453" s="65">
        <v>217</v>
      </c>
      <c r="B453" s="75">
        <v>9139.2099999999991</v>
      </c>
      <c r="C453" s="66">
        <v>9503.39</v>
      </c>
      <c r="D453" s="66">
        <v>10843.11</v>
      </c>
      <c r="E453" s="66">
        <v>12727.3</v>
      </c>
      <c r="F453" s="66">
        <v>13142.39</v>
      </c>
      <c r="G453" s="66">
        <v>16286.08</v>
      </c>
      <c r="H453" s="67">
        <v>26185.74</v>
      </c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</row>
    <row r="454" spans="1:28" ht="12.75" customHeight="1">
      <c r="A454" s="71">
        <v>217.5</v>
      </c>
      <c r="B454" s="72">
        <v>9160.61</v>
      </c>
      <c r="C454" s="73">
        <v>9524.73</v>
      </c>
      <c r="D454" s="73">
        <v>10866.89</v>
      </c>
      <c r="E454" s="73">
        <v>12756.33</v>
      </c>
      <c r="F454" s="73">
        <v>13172.56</v>
      </c>
      <c r="G454" s="73">
        <v>16322.37</v>
      </c>
      <c r="H454" s="74">
        <v>26246.33</v>
      </c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  <c r="AB454" s="48"/>
    </row>
    <row r="455" spans="1:28" ht="12.75" customHeight="1">
      <c r="A455" s="65">
        <v>218</v>
      </c>
      <c r="B455" s="75">
        <v>9182.01</v>
      </c>
      <c r="C455" s="66">
        <v>9546.07</v>
      </c>
      <c r="D455" s="66">
        <v>10890.67</v>
      </c>
      <c r="E455" s="66">
        <v>12785.36</v>
      </c>
      <c r="F455" s="66">
        <v>13202.74</v>
      </c>
      <c r="G455" s="66">
        <v>16358.65</v>
      </c>
      <c r="H455" s="67">
        <v>26306.93</v>
      </c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</row>
    <row r="456" spans="1:28" ht="12.75" customHeight="1">
      <c r="A456" s="71">
        <v>218.5</v>
      </c>
      <c r="B456" s="72">
        <v>9203.41</v>
      </c>
      <c r="C456" s="73">
        <v>9567.41</v>
      </c>
      <c r="D456" s="73">
        <v>10914.45</v>
      </c>
      <c r="E456" s="73">
        <v>12814.39</v>
      </c>
      <c r="F456" s="73">
        <v>13232.91</v>
      </c>
      <c r="G456" s="73">
        <v>16394.939999999999</v>
      </c>
      <c r="H456" s="74">
        <v>26367.53</v>
      </c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  <c r="AB456" s="48"/>
    </row>
    <row r="457" spans="1:28" ht="12.75" customHeight="1">
      <c r="A457" s="65">
        <v>219</v>
      </c>
      <c r="B457" s="75">
        <v>9224.82</v>
      </c>
      <c r="C457" s="66">
        <v>9588.75</v>
      </c>
      <c r="D457" s="66">
        <v>10938.23</v>
      </c>
      <c r="E457" s="66">
        <v>12843.41</v>
      </c>
      <c r="F457" s="66">
        <v>13263.09</v>
      </c>
      <c r="G457" s="66">
        <v>16431.22</v>
      </c>
      <c r="H457" s="67">
        <v>26428.13</v>
      </c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</row>
    <row r="458" spans="1:28" ht="12.75" customHeight="1">
      <c r="A458" s="71">
        <v>219.5</v>
      </c>
      <c r="B458" s="72">
        <v>9246.2199999999993</v>
      </c>
      <c r="C458" s="73">
        <v>9610.09</v>
      </c>
      <c r="D458" s="73">
        <v>10962.01</v>
      </c>
      <c r="E458" s="73">
        <v>12872.44</v>
      </c>
      <c r="F458" s="73">
        <v>13293.27</v>
      </c>
      <c r="G458" s="73">
        <v>16467.509999999998</v>
      </c>
      <c r="H458" s="74">
        <v>26488.73</v>
      </c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  <c r="AB458" s="48"/>
    </row>
    <row r="459" spans="1:28" ht="12.75" customHeight="1">
      <c r="A459" s="65">
        <v>220</v>
      </c>
      <c r="B459" s="75">
        <v>9267.6200000000008</v>
      </c>
      <c r="C459" s="66">
        <v>9631.43</v>
      </c>
      <c r="D459" s="66">
        <v>10985.79</v>
      </c>
      <c r="E459" s="66">
        <v>12901.47</v>
      </c>
      <c r="F459" s="66">
        <v>13323.44</v>
      </c>
      <c r="G459" s="66">
        <v>16503.79</v>
      </c>
      <c r="H459" s="67">
        <v>26549.32</v>
      </c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</row>
    <row r="460" spans="1:28" ht="12.75" customHeight="1">
      <c r="A460" s="71">
        <v>220.5</v>
      </c>
      <c r="B460" s="72">
        <v>9289.02</v>
      </c>
      <c r="C460" s="73">
        <v>9652.77</v>
      </c>
      <c r="D460" s="73">
        <v>11009.57</v>
      </c>
      <c r="E460" s="73">
        <v>12930.5</v>
      </c>
      <c r="F460" s="73">
        <v>13353.62</v>
      </c>
      <c r="G460" s="73">
        <v>16540.080000000002</v>
      </c>
      <c r="H460" s="74">
        <v>26609.919999999998</v>
      </c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  <c r="AB460" s="48"/>
    </row>
    <row r="461" spans="1:28" ht="12.75" customHeight="1">
      <c r="A461" s="65">
        <v>221</v>
      </c>
      <c r="B461" s="75">
        <v>9310.42</v>
      </c>
      <c r="C461" s="66">
        <v>9674.11</v>
      </c>
      <c r="D461" s="66">
        <v>11033.35</v>
      </c>
      <c r="E461" s="66">
        <v>12959.53</v>
      </c>
      <c r="F461" s="66">
        <v>13383.79</v>
      </c>
      <c r="G461" s="66">
        <v>16576.36</v>
      </c>
      <c r="H461" s="67">
        <v>26670.52</v>
      </c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</row>
    <row r="462" spans="1:28" ht="12.75" customHeight="1">
      <c r="A462" s="71">
        <v>221.5</v>
      </c>
      <c r="B462" s="72">
        <v>9331.83</v>
      </c>
      <c r="C462" s="73">
        <v>9695.4500000000007</v>
      </c>
      <c r="D462" s="73">
        <v>11057.13</v>
      </c>
      <c r="E462" s="73">
        <v>12988.55</v>
      </c>
      <c r="F462" s="73">
        <v>13413.97</v>
      </c>
      <c r="G462" s="73">
        <v>16612.650000000001</v>
      </c>
      <c r="H462" s="74">
        <v>26731.119999999999</v>
      </c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  <c r="AB462" s="48"/>
    </row>
    <row r="463" spans="1:28" ht="12.75" customHeight="1">
      <c r="A463" s="65">
        <v>222</v>
      </c>
      <c r="B463" s="75">
        <v>9353.23</v>
      </c>
      <c r="C463" s="66">
        <v>9716.7999999999993</v>
      </c>
      <c r="D463" s="66">
        <v>11080.91</v>
      </c>
      <c r="E463" s="66">
        <v>13017.58</v>
      </c>
      <c r="F463" s="66">
        <v>13444.15</v>
      </c>
      <c r="G463" s="66">
        <v>16648.93</v>
      </c>
      <c r="H463" s="67">
        <v>26791.72</v>
      </c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</row>
    <row r="464" spans="1:28" ht="12.75" customHeight="1">
      <c r="A464" s="71">
        <v>222.5</v>
      </c>
      <c r="B464" s="72">
        <v>9374.6299999999992</v>
      </c>
      <c r="C464" s="73">
        <v>9738.14</v>
      </c>
      <c r="D464" s="73">
        <v>11104.69</v>
      </c>
      <c r="E464" s="73">
        <v>13046.61</v>
      </c>
      <c r="F464" s="73">
        <v>13474.32</v>
      </c>
      <c r="G464" s="73">
        <v>16685.22</v>
      </c>
      <c r="H464" s="74">
        <v>26852.31</v>
      </c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  <c r="AB464" s="48"/>
    </row>
    <row r="465" spans="1:28" ht="12.75" customHeight="1">
      <c r="A465" s="65">
        <v>223</v>
      </c>
      <c r="B465" s="75">
        <v>9396.0300000000007</v>
      </c>
      <c r="C465" s="66">
        <v>9759.48</v>
      </c>
      <c r="D465" s="66">
        <v>11128.47</v>
      </c>
      <c r="E465" s="66">
        <v>13075.64</v>
      </c>
      <c r="F465" s="66">
        <v>13504.5</v>
      </c>
      <c r="G465" s="66">
        <v>16721.5</v>
      </c>
      <c r="H465" s="67">
        <v>26912.91</v>
      </c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</row>
    <row r="466" spans="1:28" ht="12.75" customHeight="1">
      <c r="A466" s="71">
        <v>223.5</v>
      </c>
      <c r="B466" s="72">
        <v>9417.43</v>
      </c>
      <c r="C466" s="73">
        <v>9780.82</v>
      </c>
      <c r="D466" s="73">
        <v>11152.25</v>
      </c>
      <c r="E466" s="73">
        <v>13104.67</v>
      </c>
      <c r="F466" s="73">
        <v>13534.67</v>
      </c>
      <c r="G466" s="73">
        <v>16757.79</v>
      </c>
      <c r="H466" s="74">
        <v>26973.51</v>
      </c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  <c r="AB466" s="48"/>
    </row>
    <row r="467" spans="1:28" ht="12.75" customHeight="1">
      <c r="A467" s="65">
        <v>224</v>
      </c>
      <c r="B467" s="75">
        <v>9438.84</v>
      </c>
      <c r="C467" s="66">
        <v>9802.16</v>
      </c>
      <c r="D467" s="66">
        <v>11176.03</v>
      </c>
      <c r="E467" s="66">
        <v>13133.69</v>
      </c>
      <c r="F467" s="66">
        <v>13564.85</v>
      </c>
      <c r="G467" s="66">
        <v>16794.07</v>
      </c>
      <c r="H467" s="67">
        <v>27034.11</v>
      </c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</row>
    <row r="468" spans="1:28" ht="12.75" customHeight="1">
      <c r="A468" s="71">
        <v>224.5</v>
      </c>
      <c r="B468" s="72">
        <v>9460.24</v>
      </c>
      <c r="C468" s="73">
        <v>9823.5</v>
      </c>
      <c r="D468" s="73">
        <v>11199.81</v>
      </c>
      <c r="E468" s="73">
        <v>13162.72</v>
      </c>
      <c r="F468" s="73">
        <v>13595.03</v>
      </c>
      <c r="G468" s="73">
        <v>16830.36</v>
      </c>
      <c r="H468" s="74">
        <v>27094.71</v>
      </c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  <c r="AB468" s="48"/>
    </row>
    <row r="469" spans="1:28" ht="12.75" customHeight="1">
      <c r="A469" s="65">
        <v>225</v>
      </c>
      <c r="B469" s="75">
        <v>9481.64</v>
      </c>
      <c r="C469" s="66">
        <v>9844.84</v>
      </c>
      <c r="D469" s="66">
        <v>11223.59</v>
      </c>
      <c r="E469" s="66">
        <v>13191.75</v>
      </c>
      <c r="F469" s="66">
        <v>13625.2</v>
      </c>
      <c r="G469" s="66">
        <v>16866.64</v>
      </c>
      <c r="H469" s="67">
        <v>27155.3</v>
      </c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</row>
    <row r="470" spans="1:28" ht="12.75" customHeight="1">
      <c r="A470" s="71">
        <v>225.5</v>
      </c>
      <c r="B470" s="72">
        <v>9503.0400000000009</v>
      </c>
      <c r="C470" s="73">
        <v>9866.18</v>
      </c>
      <c r="D470" s="73">
        <v>11247.37</v>
      </c>
      <c r="E470" s="73">
        <v>13220.78</v>
      </c>
      <c r="F470" s="73">
        <v>13655.38</v>
      </c>
      <c r="G470" s="73">
        <v>16902.93</v>
      </c>
      <c r="H470" s="74">
        <v>27215.9</v>
      </c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  <c r="AB470" s="48"/>
    </row>
    <row r="471" spans="1:28" ht="12.75" customHeight="1">
      <c r="A471" s="65">
        <v>226</v>
      </c>
      <c r="B471" s="75">
        <v>9524.44</v>
      </c>
      <c r="C471" s="66">
        <v>9887.52</v>
      </c>
      <c r="D471" s="66">
        <v>11271.15</v>
      </c>
      <c r="E471" s="66">
        <v>13249.81</v>
      </c>
      <c r="F471" s="66">
        <v>13685.55</v>
      </c>
      <c r="G471" s="66">
        <v>16939.21</v>
      </c>
      <c r="H471" s="67">
        <v>27276.5</v>
      </c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</row>
    <row r="472" spans="1:28" ht="12.75" customHeight="1">
      <c r="A472" s="71">
        <v>226.5</v>
      </c>
      <c r="B472" s="72">
        <v>9545.85</v>
      </c>
      <c r="C472" s="73">
        <v>9908.86</v>
      </c>
      <c r="D472" s="73">
        <v>11294.93</v>
      </c>
      <c r="E472" s="73">
        <v>13278.83</v>
      </c>
      <c r="F472" s="73">
        <v>13715.73</v>
      </c>
      <c r="G472" s="73">
        <v>16975.5</v>
      </c>
      <c r="H472" s="74">
        <v>27337.1</v>
      </c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  <c r="AB472" s="48"/>
    </row>
    <row r="473" spans="1:28" ht="12.75" customHeight="1">
      <c r="A473" s="65">
        <v>227</v>
      </c>
      <c r="B473" s="75">
        <v>9567.25</v>
      </c>
      <c r="C473" s="66">
        <v>9930.2000000000007</v>
      </c>
      <c r="D473" s="66">
        <v>11318.71</v>
      </c>
      <c r="E473" s="66">
        <v>13307.86</v>
      </c>
      <c r="F473" s="66">
        <v>13745.91</v>
      </c>
      <c r="G473" s="66">
        <v>17011.78</v>
      </c>
      <c r="H473" s="67">
        <v>27397.7</v>
      </c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</row>
    <row r="474" spans="1:28" ht="12.75" customHeight="1">
      <c r="A474" s="71">
        <v>227.5</v>
      </c>
      <c r="B474" s="72">
        <v>9588.65</v>
      </c>
      <c r="C474" s="73">
        <v>9951.5400000000009</v>
      </c>
      <c r="D474" s="73">
        <v>11342.49</v>
      </c>
      <c r="E474" s="73">
        <v>13336.89</v>
      </c>
      <c r="F474" s="73">
        <v>13776.08</v>
      </c>
      <c r="G474" s="73">
        <v>17048.07</v>
      </c>
      <c r="H474" s="74">
        <v>27458.29</v>
      </c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  <c r="AB474" s="48"/>
    </row>
    <row r="475" spans="1:28" ht="12.75" customHeight="1">
      <c r="A475" s="65">
        <v>228</v>
      </c>
      <c r="B475" s="75">
        <v>9610.0499999999993</v>
      </c>
      <c r="C475" s="66">
        <v>9972.8799999999992</v>
      </c>
      <c r="D475" s="66">
        <v>11366.27</v>
      </c>
      <c r="E475" s="66">
        <v>13365.92</v>
      </c>
      <c r="F475" s="66">
        <v>13806.26</v>
      </c>
      <c r="G475" s="66">
        <v>17084.349999999999</v>
      </c>
      <c r="H475" s="67">
        <v>27518.89</v>
      </c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</row>
    <row r="476" spans="1:28" ht="12.75" customHeight="1">
      <c r="A476" s="71">
        <v>228.5</v>
      </c>
      <c r="B476" s="72">
        <v>9631.4500000000007</v>
      </c>
      <c r="C476" s="73">
        <v>9994.2199999999993</v>
      </c>
      <c r="D476" s="73">
        <v>11390.05</v>
      </c>
      <c r="E476" s="73">
        <v>13394.95</v>
      </c>
      <c r="F476" s="73">
        <v>13836.43</v>
      </c>
      <c r="G476" s="73">
        <v>17120.64</v>
      </c>
      <c r="H476" s="74">
        <v>27579.49</v>
      </c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  <c r="AB476" s="48"/>
    </row>
    <row r="477" spans="1:28" ht="12.75" customHeight="1">
      <c r="A477" s="65">
        <v>229</v>
      </c>
      <c r="B477" s="75">
        <v>9652.86</v>
      </c>
      <c r="C477" s="66">
        <v>10015.56</v>
      </c>
      <c r="D477" s="66">
        <v>11413.83</v>
      </c>
      <c r="E477" s="66">
        <v>13423.97</v>
      </c>
      <c r="F477" s="66">
        <v>13866.61</v>
      </c>
      <c r="G477" s="66">
        <v>17156.919999999998</v>
      </c>
      <c r="H477" s="67">
        <v>27640.09</v>
      </c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</row>
    <row r="478" spans="1:28" ht="12.75" customHeight="1">
      <c r="A478" s="71">
        <v>229.5</v>
      </c>
      <c r="B478" s="72">
        <v>9674.26</v>
      </c>
      <c r="C478" s="73">
        <v>10036.9</v>
      </c>
      <c r="D478" s="73">
        <v>11437.61</v>
      </c>
      <c r="E478" s="73">
        <v>13453</v>
      </c>
      <c r="F478" s="73">
        <v>13896.79</v>
      </c>
      <c r="G478" s="73">
        <v>17193.21</v>
      </c>
      <c r="H478" s="74">
        <v>27700.69</v>
      </c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  <c r="AB478" s="48"/>
    </row>
    <row r="479" spans="1:28" ht="12.75" customHeight="1">
      <c r="A479" s="65">
        <v>230</v>
      </c>
      <c r="B479" s="75">
        <v>9695.66</v>
      </c>
      <c r="C479" s="66">
        <v>10058.24</v>
      </c>
      <c r="D479" s="66">
        <v>11461.39</v>
      </c>
      <c r="E479" s="66">
        <v>13482.03</v>
      </c>
      <c r="F479" s="66">
        <v>13926.96</v>
      </c>
      <c r="G479" s="66">
        <v>17229.490000000002</v>
      </c>
      <c r="H479" s="67">
        <v>27761.279999999999</v>
      </c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</row>
    <row r="480" spans="1:28" ht="12.75" customHeight="1">
      <c r="A480" s="71">
        <v>230.5</v>
      </c>
      <c r="B480" s="72">
        <v>9717.06</v>
      </c>
      <c r="C480" s="73">
        <v>10079.58</v>
      </c>
      <c r="D480" s="73">
        <v>11485.17</v>
      </c>
      <c r="E480" s="73">
        <v>13511.06</v>
      </c>
      <c r="F480" s="73">
        <v>13957.14</v>
      </c>
      <c r="G480" s="73">
        <v>17265.78</v>
      </c>
      <c r="H480" s="74">
        <v>27821.88</v>
      </c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  <c r="AB480" s="48"/>
    </row>
    <row r="481" spans="1:28" ht="12.75" customHeight="1">
      <c r="A481" s="65">
        <v>231</v>
      </c>
      <c r="B481" s="75">
        <v>9738.4599999999991</v>
      </c>
      <c r="C481" s="66">
        <v>10100.92</v>
      </c>
      <c r="D481" s="66">
        <v>11508.95</v>
      </c>
      <c r="E481" s="66">
        <v>13540.09</v>
      </c>
      <c r="F481" s="66">
        <v>13987.31</v>
      </c>
      <c r="G481" s="66">
        <v>17302.060000000001</v>
      </c>
      <c r="H481" s="67">
        <v>27882.48</v>
      </c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</row>
    <row r="482" spans="1:28" ht="12.75" customHeight="1">
      <c r="A482" s="71">
        <v>231.5</v>
      </c>
      <c r="B482" s="72">
        <v>9759.8700000000008</v>
      </c>
      <c r="C482" s="73">
        <v>10122.26</v>
      </c>
      <c r="D482" s="73">
        <v>11532.73</v>
      </c>
      <c r="E482" s="73">
        <v>13569.11</v>
      </c>
      <c r="F482" s="73">
        <v>14017.49</v>
      </c>
      <c r="G482" s="73">
        <v>17338.349999999999</v>
      </c>
      <c r="H482" s="74">
        <v>27943.08</v>
      </c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  <c r="AB482" s="48"/>
    </row>
    <row r="483" spans="1:28" ht="12.75" customHeight="1">
      <c r="A483" s="65">
        <v>232</v>
      </c>
      <c r="B483" s="75">
        <v>9781.27</v>
      </c>
      <c r="C483" s="66">
        <v>10143.61</v>
      </c>
      <c r="D483" s="66">
        <v>11556.51</v>
      </c>
      <c r="E483" s="66">
        <v>13598.14</v>
      </c>
      <c r="F483" s="66">
        <v>14047.67</v>
      </c>
      <c r="G483" s="66">
        <v>17374.63</v>
      </c>
      <c r="H483" s="67">
        <v>28003.68</v>
      </c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</row>
    <row r="484" spans="1:28" ht="12.75" customHeight="1">
      <c r="A484" s="71">
        <v>232.5</v>
      </c>
      <c r="B484" s="72">
        <v>9802.67</v>
      </c>
      <c r="C484" s="73">
        <v>10164.950000000001</v>
      </c>
      <c r="D484" s="73">
        <v>11580.29</v>
      </c>
      <c r="E484" s="73">
        <v>13627.17</v>
      </c>
      <c r="F484" s="73">
        <v>14077.84</v>
      </c>
      <c r="G484" s="73">
        <v>17410.919999999998</v>
      </c>
      <c r="H484" s="74">
        <v>28064.27</v>
      </c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  <c r="AB484" s="48"/>
    </row>
    <row r="485" spans="1:28" ht="12.75" customHeight="1">
      <c r="A485" s="65">
        <v>233</v>
      </c>
      <c r="B485" s="75">
        <v>9824.07</v>
      </c>
      <c r="C485" s="66">
        <v>10186.290000000001</v>
      </c>
      <c r="D485" s="66">
        <v>11604.07</v>
      </c>
      <c r="E485" s="66">
        <v>13656.2</v>
      </c>
      <c r="F485" s="66">
        <v>14108.02</v>
      </c>
      <c r="G485" s="66">
        <v>17447.2</v>
      </c>
      <c r="H485" s="67">
        <v>28124.87</v>
      </c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</row>
    <row r="486" spans="1:28" ht="12.75" customHeight="1">
      <c r="A486" s="71">
        <v>233.5</v>
      </c>
      <c r="B486" s="72">
        <v>9845.4699999999993</v>
      </c>
      <c r="C486" s="73">
        <v>10207.629999999999</v>
      </c>
      <c r="D486" s="73">
        <v>11627.85</v>
      </c>
      <c r="E486" s="73">
        <v>13685.23</v>
      </c>
      <c r="F486" s="73">
        <v>14138.19</v>
      </c>
      <c r="G486" s="73">
        <v>17483.490000000002</v>
      </c>
      <c r="H486" s="74">
        <v>28185.47</v>
      </c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48"/>
    </row>
    <row r="487" spans="1:28" ht="12.75" customHeight="1">
      <c r="A487" s="65">
        <v>234</v>
      </c>
      <c r="B487" s="75">
        <v>9866.8799999999992</v>
      </c>
      <c r="C487" s="66">
        <v>10228.969999999999</v>
      </c>
      <c r="D487" s="66">
        <v>11651.63</v>
      </c>
      <c r="E487" s="66">
        <v>13714.25</v>
      </c>
      <c r="F487" s="66">
        <v>14168.37</v>
      </c>
      <c r="G487" s="66">
        <v>17519.77</v>
      </c>
      <c r="H487" s="67">
        <v>28246.07</v>
      </c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</row>
    <row r="488" spans="1:28" ht="12.75" customHeight="1">
      <c r="A488" s="71">
        <v>234.5</v>
      </c>
      <c r="B488" s="72">
        <v>9888.2800000000007</v>
      </c>
      <c r="C488" s="73">
        <v>10250.31</v>
      </c>
      <c r="D488" s="73">
        <v>11675.41</v>
      </c>
      <c r="E488" s="73">
        <v>13743.28</v>
      </c>
      <c r="F488" s="73">
        <v>14198.55</v>
      </c>
      <c r="G488" s="73">
        <v>17556.060000000001</v>
      </c>
      <c r="H488" s="74">
        <v>28306.67</v>
      </c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  <c r="AB488" s="48"/>
    </row>
    <row r="489" spans="1:28" ht="12.75" customHeight="1">
      <c r="A489" s="65">
        <v>235</v>
      </c>
      <c r="B489" s="75">
        <v>9909.68</v>
      </c>
      <c r="C489" s="66">
        <v>10271.65</v>
      </c>
      <c r="D489" s="66">
        <v>11699.19</v>
      </c>
      <c r="E489" s="66">
        <v>13772.31</v>
      </c>
      <c r="F489" s="66">
        <v>14228.72</v>
      </c>
      <c r="G489" s="66">
        <v>17592.34</v>
      </c>
      <c r="H489" s="67">
        <v>28367.26</v>
      </c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</row>
    <row r="490" spans="1:28" ht="12.75" customHeight="1">
      <c r="A490" s="71">
        <v>235.5</v>
      </c>
      <c r="B490" s="72">
        <v>9931.08</v>
      </c>
      <c r="C490" s="73">
        <v>10292.99</v>
      </c>
      <c r="D490" s="73">
        <v>11722.97</v>
      </c>
      <c r="E490" s="73">
        <v>13801.34</v>
      </c>
      <c r="F490" s="73">
        <v>14258.9</v>
      </c>
      <c r="G490" s="73">
        <v>17628.63</v>
      </c>
      <c r="H490" s="74">
        <v>28427.86</v>
      </c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  <c r="AB490" s="48"/>
    </row>
    <row r="491" spans="1:28" ht="12.75" customHeight="1">
      <c r="A491" s="65">
        <v>236</v>
      </c>
      <c r="B491" s="75">
        <v>9952.48</v>
      </c>
      <c r="C491" s="66">
        <v>10314.33</v>
      </c>
      <c r="D491" s="66">
        <v>11746.75</v>
      </c>
      <c r="E491" s="66">
        <v>13830.37</v>
      </c>
      <c r="F491" s="66">
        <v>14289.07</v>
      </c>
      <c r="G491" s="66">
        <v>17664.91</v>
      </c>
      <c r="H491" s="67">
        <v>28488.46</v>
      </c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</row>
    <row r="492" spans="1:28" ht="12.75" customHeight="1">
      <c r="A492" s="71">
        <v>236.5</v>
      </c>
      <c r="B492" s="72">
        <v>9973.89</v>
      </c>
      <c r="C492" s="73">
        <v>10335.67</v>
      </c>
      <c r="D492" s="73">
        <v>11770.53</v>
      </c>
      <c r="E492" s="73">
        <v>13859.39</v>
      </c>
      <c r="F492" s="73">
        <v>14319.25</v>
      </c>
      <c r="G492" s="73">
        <v>17701.2</v>
      </c>
      <c r="H492" s="74">
        <v>28549.06</v>
      </c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  <c r="AB492" s="48"/>
    </row>
    <row r="493" spans="1:28" ht="12.75" customHeight="1">
      <c r="A493" s="65">
        <v>237</v>
      </c>
      <c r="B493" s="75">
        <v>9995.2900000000009</v>
      </c>
      <c r="C493" s="66">
        <v>10357.01</v>
      </c>
      <c r="D493" s="66">
        <v>11794.31</v>
      </c>
      <c r="E493" s="66">
        <v>13888.42</v>
      </c>
      <c r="F493" s="66">
        <v>14349.43</v>
      </c>
      <c r="G493" s="66">
        <v>17737.48</v>
      </c>
      <c r="H493" s="67">
        <v>28609.66</v>
      </c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</row>
    <row r="494" spans="1:28" ht="12.75" customHeight="1">
      <c r="A494" s="71">
        <v>237.5</v>
      </c>
      <c r="B494" s="72">
        <v>10016.69</v>
      </c>
      <c r="C494" s="73">
        <v>10378.35</v>
      </c>
      <c r="D494" s="73">
        <v>11818.09</v>
      </c>
      <c r="E494" s="73">
        <v>13917.45</v>
      </c>
      <c r="F494" s="73">
        <v>14379.6</v>
      </c>
      <c r="G494" s="73">
        <v>17773.77</v>
      </c>
      <c r="H494" s="74">
        <v>28670.25</v>
      </c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  <c r="AB494" s="48"/>
    </row>
    <row r="495" spans="1:28" ht="12.75" customHeight="1">
      <c r="A495" s="65">
        <v>238</v>
      </c>
      <c r="B495" s="75">
        <v>10038.09</v>
      </c>
      <c r="C495" s="66">
        <v>10399.69</v>
      </c>
      <c r="D495" s="66">
        <v>11841.87</v>
      </c>
      <c r="E495" s="66">
        <v>13946.48</v>
      </c>
      <c r="F495" s="66">
        <v>14409.78</v>
      </c>
      <c r="G495" s="66">
        <v>17810.05</v>
      </c>
      <c r="H495" s="67">
        <v>28730.85</v>
      </c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</row>
    <row r="496" spans="1:28" ht="12.75" customHeight="1">
      <c r="A496" s="71">
        <v>238.5</v>
      </c>
      <c r="B496" s="72">
        <v>10059.49</v>
      </c>
      <c r="C496" s="73">
        <v>10421.030000000001</v>
      </c>
      <c r="D496" s="73">
        <v>11865.65</v>
      </c>
      <c r="E496" s="73">
        <v>13975.51</v>
      </c>
      <c r="F496" s="73">
        <v>14439.95</v>
      </c>
      <c r="G496" s="73">
        <v>17846.34</v>
      </c>
      <c r="H496" s="74">
        <v>28791.45</v>
      </c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  <c r="AB496" s="48"/>
    </row>
    <row r="497" spans="1:28" ht="12.75" customHeight="1">
      <c r="A497" s="65">
        <v>239</v>
      </c>
      <c r="B497" s="75">
        <v>10080.9</v>
      </c>
      <c r="C497" s="66">
        <v>10442.370000000001</v>
      </c>
      <c r="D497" s="66">
        <v>11889.43</v>
      </c>
      <c r="E497" s="66">
        <v>14004.53</v>
      </c>
      <c r="F497" s="66">
        <v>14470.13</v>
      </c>
      <c r="G497" s="66">
        <v>17882.62</v>
      </c>
      <c r="H497" s="67">
        <v>28852.05</v>
      </c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</row>
    <row r="498" spans="1:28" ht="12.75" customHeight="1">
      <c r="A498" s="71">
        <v>239.5</v>
      </c>
      <c r="B498" s="72">
        <v>10102.299999999999</v>
      </c>
      <c r="C498" s="73">
        <v>10463.709999999999</v>
      </c>
      <c r="D498" s="73">
        <v>11913.21</v>
      </c>
      <c r="E498" s="73">
        <v>14033.56</v>
      </c>
      <c r="F498" s="73">
        <v>14500.31</v>
      </c>
      <c r="G498" s="73">
        <v>17918.91</v>
      </c>
      <c r="H498" s="74">
        <v>28912.65</v>
      </c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  <c r="AB498" s="48"/>
    </row>
    <row r="499" spans="1:28" ht="12.75" customHeight="1">
      <c r="A499" s="65">
        <v>240</v>
      </c>
      <c r="B499" s="75">
        <v>10123.700000000001</v>
      </c>
      <c r="C499" s="66">
        <v>10485.049999999999</v>
      </c>
      <c r="D499" s="66">
        <v>11936.99</v>
      </c>
      <c r="E499" s="66">
        <v>14062.59</v>
      </c>
      <c r="F499" s="66">
        <v>14530.48</v>
      </c>
      <c r="G499" s="66">
        <v>17955.189999999999</v>
      </c>
      <c r="H499" s="67">
        <v>28973.24</v>
      </c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</row>
    <row r="500" spans="1:28" ht="12.75" customHeight="1">
      <c r="A500" s="71">
        <v>240.5</v>
      </c>
      <c r="B500" s="72">
        <v>10145.1</v>
      </c>
      <c r="C500" s="73">
        <v>10506.39</v>
      </c>
      <c r="D500" s="73">
        <v>11960.77</v>
      </c>
      <c r="E500" s="73">
        <v>14091.62</v>
      </c>
      <c r="F500" s="73">
        <v>14560.66</v>
      </c>
      <c r="G500" s="73">
        <v>17991.48</v>
      </c>
      <c r="H500" s="74">
        <v>29033.84</v>
      </c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  <c r="AB500" s="48"/>
    </row>
    <row r="501" spans="1:28" ht="12.75" customHeight="1">
      <c r="A501" s="65">
        <v>241</v>
      </c>
      <c r="B501" s="75">
        <v>10166.5</v>
      </c>
      <c r="C501" s="66">
        <v>10527.73</v>
      </c>
      <c r="D501" s="66">
        <v>11984.55</v>
      </c>
      <c r="E501" s="66">
        <v>14120.65</v>
      </c>
      <c r="F501" s="66">
        <v>14590.83</v>
      </c>
      <c r="G501" s="66">
        <v>18027.759999999998</v>
      </c>
      <c r="H501" s="67">
        <v>29094.44</v>
      </c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</row>
    <row r="502" spans="1:28" ht="12.75" customHeight="1">
      <c r="A502" s="71">
        <v>241.5</v>
      </c>
      <c r="B502" s="72">
        <v>10187.91</v>
      </c>
      <c r="C502" s="73">
        <v>10549.07</v>
      </c>
      <c r="D502" s="73">
        <v>12008.33</v>
      </c>
      <c r="E502" s="73">
        <v>14149.67</v>
      </c>
      <c r="F502" s="73">
        <v>14621.01</v>
      </c>
      <c r="G502" s="73">
        <v>18064.05</v>
      </c>
      <c r="H502" s="74">
        <v>29155.040000000001</v>
      </c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  <c r="AB502" s="48"/>
    </row>
    <row r="503" spans="1:28" ht="12.75" customHeight="1">
      <c r="A503" s="65">
        <v>242</v>
      </c>
      <c r="B503" s="75">
        <v>10209.31</v>
      </c>
      <c r="C503" s="66">
        <v>10570.42</v>
      </c>
      <c r="D503" s="66">
        <v>12032.11</v>
      </c>
      <c r="E503" s="66">
        <v>14178.7</v>
      </c>
      <c r="F503" s="66">
        <v>14651.19</v>
      </c>
      <c r="G503" s="66">
        <v>18100.330000000002</v>
      </c>
      <c r="H503" s="67">
        <v>29215.64</v>
      </c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</row>
    <row r="504" spans="1:28" ht="12.75" customHeight="1">
      <c r="A504" s="71">
        <v>242.5</v>
      </c>
      <c r="B504" s="72">
        <v>10230.709999999999</v>
      </c>
      <c r="C504" s="73">
        <v>10591.76</v>
      </c>
      <c r="D504" s="73">
        <v>12055.89</v>
      </c>
      <c r="E504" s="73">
        <v>14207.73</v>
      </c>
      <c r="F504" s="73">
        <v>14681.36</v>
      </c>
      <c r="G504" s="73">
        <v>18136.62</v>
      </c>
      <c r="H504" s="74">
        <v>29276.23</v>
      </c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  <c r="AB504" s="48"/>
    </row>
    <row r="505" spans="1:28" ht="12.75" customHeight="1">
      <c r="A505" s="65">
        <v>243</v>
      </c>
      <c r="B505" s="75">
        <v>10252.11</v>
      </c>
      <c r="C505" s="66">
        <v>10613.1</v>
      </c>
      <c r="D505" s="66">
        <v>12079.67</v>
      </c>
      <c r="E505" s="66">
        <v>14236.76</v>
      </c>
      <c r="F505" s="66">
        <v>14711.54</v>
      </c>
      <c r="G505" s="66">
        <v>18172.900000000001</v>
      </c>
      <c r="H505" s="67">
        <v>29336.83</v>
      </c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</row>
    <row r="506" spans="1:28" ht="12.75" customHeight="1">
      <c r="A506" s="71">
        <v>243.5</v>
      </c>
      <c r="B506" s="72">
        <v>10273.51</v>
      </c>
      <c r="C506" s="73">
        <v>10634.44</v>
      </c>
      <c r="D506" s="73">
        <v>12103.45</v>
      </c>
      <c r="E506" s="73">
        <v>14265.79</v>
      </c>
      <c r="F506" s="73">
        <v>14741.71</v>
      </c>
      <c r="G506" s="73">
        <v>18209.189999999999</v>
      </c>
      <c r="H506" s="74">
        <v>29397.43</v>
      </c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  <c r="AB506" s="48"/>
    </row>
    <row r="507" spans="1:28" ht="12.75" customHeight="1">
      <c r="A507" s="65">
        <v>244</v>
      </c>
      <c r="B507" s="75">
        <v>10294.92</v>
      </c>
      <c r="C507" s="66">
        <v>10655.78</v>
      </c>
      <c r="D507" s="66">
        <v>12127.23</v>
      </c>
      <c r="E507" s="66">
        <v>14294.81</v>
      </c>
      <c r="F507" s="66">
        <v>14771.89</v>
      </c>
      <c r="G507" s="66">
        <v>18245.47</v>
      </c>
      <c r="H507" s="67">
        <v>29458.03</v>
      </c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</row>
    <row r="508" spans="1:28" ht="12.75" customHeight="1">
      <c r="A508" s="71">
        <v>244.5</v>
      </c>
      <c r="B508" s="72">
        <v>10316.32</v>
      </c>
      <c r="C508" s="73">
        <v>10677.12</v>
      </c>
      <c r="D508" s="73">
        <v>12151.01</v>
      </c>
      <c r="E508" s="73">
        <v>14323.84</v>
      </c>
      <c r="F508" s="73">
        <v>14802.07</v>
      </c>
      <c r="G508" s="73">
        <v>18281.759999999998</v>
      </c>
      <c r="H508" s="74">
        <v>29518.63</v>
      </c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  <c r="AB508" s="48"/>
    </row>
    <row r="509" spans="1:28" ht="12.75" customHeight="1">
      <c r="A509" s="65">
        <v>245</v>
      </c>
      <c r="B509" s="75">
        <v>10337.719999999999</v>
      </c>
      <c r="C509" s="66">
        <v>10698.46</v>
      </c>
      <c r="D509" s="66">
        <v>12174.79</v>
      </c>
      <c r="E509" s="66">
        <v>14352.87</v>
      </c>
      <c r="F509" s="66">
        <v>14832.24</v>
      </c>
      <c r="G509" s="66">
        <v>18318.04</v>
      </c>
      <c r="H509" s="67">
        <v>29579.22</v>
      </c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</row>
    <row r="510" spans="1:28" ht="12.75" customHeight="1">
      <c r="A510" s="71">
        <v>245.5</v>
      </c>
      <c r="B510" s="72">
        <v>10359.120000000001</v>
      </c>
      <c r="C510" s="73">
        <v>10719.8</v>
      </c>
      <c r="D510" s="73">
        <v>12198.57</v>
      </c>
      <c r="E510" s="73">
        <v>14381.9</v>
      </c>
      <c r="F510" s="73">
        <v>14862.42</v>
      </c>
      <c r="G510" s="73">
        <v>18354.330000000002</v>
      </c>
      <c r="H510" s="74">
        <v>29639.82</v>
      </c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  <c r="AB510" s="48"/>
    </row>
    <row r="511" spans="1:28" ht="12.75" customHeight="1">
      <c r="A511" s="65">
        <v>246</v>
      </c>
      <c r="B511" s="75">
        <v>10380.52</v>
      </c>
      <c r="C511" s="66">
        <v>10741.14</v>
      </c>
      <c r="D511" s="66">
        <v>12222.35</v>
      </c>
      <c r="E511" s="66">
        <v>14410.93</v>
      </c>
      <c r="F511" s="66">
        <v>14892.59</v>
      </c>
      <c r="G511" s="66">
        <v>18390.61</v>
      </c>
      <c r="H511" s="67">
        <v>29700.42</v>
      </c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</row>
    <row r="512" spans="1:28" ht="12.75" customHeight="1">
      <c r="A512" s="71">
        <v>246.5</v>
      </c>
      <c r="B512" s="72">
        <v>10401.93</v>
      </c>
      <c r="C512" s="73">
        <v>10762.48</v>
      </c>
      <c r="D512" s="73">
        <v>12246.13</v>
      </c>
      <c r="E512" s="73">
        <v>14439.95</v>
      </c>
      <c r="F512" s="73">
        <v>14922.77</v>
      </c>
      <c r="G512" s="73">
        <v>18426.900000000001</v>
      </c>
      <c r="H512" s="74">
        <v>29761.02</v>
      </c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  <c r="AB512" s="48"/>
    </row>
    <row r="513" spans="1:28" ht="12.75" customHeight="1">
      <c r="A513" s="65">
        <v>247</v>
      </c>
      <c r="B513" s="75">
        <v>10423.33</v>
      </c>
      <c r="C513" s="66">
        <v>10783.82</v>
      </c>
      <c r="D513" s="66">
        <v>12269.91</v>
      </c>
      <c r="E513" s="66">
        <v>14468.98</v>
      </c>
      <c r="F513" s="66">
        <v>14952.95</v>
      </c>
      <c r="G513" s="66">
        <v>18463.18</v>
      </c>
      <c r="H513" s="67">
        <v>29821.62</v>
      </c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</row>
    <row r="514" spans="1:28" ht="12.75" customHeight="1">
      <c r="A514" s="71">
        <v>247.5</v>
      </c>
      <c r="B514" s="72">
        <v>10444.73</v>
      </c>
      <c r="C514" s="73">
        <v>10805.16</v>
      </c>
      <c r="D514" s="73">
        <v>12293.69</v>
      </c>
      <c r="E514" s="73">
        <v>14498.01</v>
      </c>
      <c r="F514" s="73">
        <v>14983.12</v>
      </c>
      <c r="G514" s="73">
        <v>18499.47</v>
      </c>
      <c r="H514" s="74">
        <v>29882.21</v>
      </c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  <c r="AB514" s="48"/>
    </row>
    <row r="515" spans="1:28" ht="12.75" customHeight="1">
      <c r="A515" s="65">
        <v>248</v>
      </c>
      <c r="B515" s="75">
        <v>10466.129999999999</v>
      </c>
      <c r="C515" s="66">
        <v>10826.5</v>
      </c>
      <c r="D515" s="66">
        <v>12317.47</v>
      </c>
      <c r="E515" s="66">
        <v>14527.04</v>
      </c>
      <c r="F515" s="66">
        <v>15013.3</v>
      </c>
      <c r="G515" s="66">
        <v>18535.75</v>
      </c>
      <c r="H515" s="67">
        <v>29942.81</v>
      </c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48"/>
    </row>
    <row r="516" spans="1:28" ht="12.75" customHeight="1">
      <c r="A516" s="71">
        <v>248.5</v>
      </c>
      <c r="B516" s="72">
        <v>10487.53</v>
      </c>
      <c r="C516" s="73">
        <v>10847.84</v>
      </c>
      <c r="D516" s="73">
        <v>12341.25</v>
      </c>
      <c r="E516" s="73">
        <v>14556.07</v>
      </c>
      <c r="F516" s="73">
        <v>15043.47</v>
      </c>
      <c r="G516" s="73">
        <v>18572.04</v>
      </c>
      <c r="H516" s="74">
        <v>30003.41</v>
      </c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  <c r="AB516" s="48"/>
    </row>
    <row r="517" spans="1:28" ht="12.75" customHeight="1">
      <c r="A517" s="65">
        <v>249</v>
      </c>
      <c r="B517" s="75">
        <v>10508.94</v>
      </c>
      <c r="C517" s="66">
        <v>10869.18</v>
      </c>
      <c r="D517" s="66">
        <v>12365.03</v>
      </c>
      <c r="E517" s="66">
        <v>14585.09</v>
      </c>
      <c r="F517" s="66">
        <v>15073.65</v>
      </c>
      <c r="G517" s="66">
        <v>18608.32</v>
      </c>
      <c r="H517" s="67">
        <v>30064.01</v>
      </c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  <c r="AB517" s="48"/>
    </row>
    <row r="518" spans="1:28" ht="12.75" customHeight="1">
      <c r="A518" s="71">
        <v>249.5</v>
      </c>
      <c r="B518" s="72">
        <v>10530.34</v>
      </c>
      <c r="C518" s="73">
        <v>10890.52</v>
      </c>
      <c r="D518" s="73">
        <v>12388.81</v>
      </c>
      <c r="E518" s="73">
        <v>14614.12</v>
      </c>
      <c r="F518" s="73">
        <v>15103.83</v>
      </c>
      <c r="G518" s="73">
        <v>18644.61</v>
      </c>
      <c r="H518" s="74">
        <v>30124.61</v>
      </c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  <c r="AB518" s="48"/>
    </row>
    <row r="519" spans="1:28" ht="12.75" customHeight="1">
      <c r="A519" s="65">
        <v>250</v>
      </c>
      <c r="B519" s="75">
        <v>10551.74</v>
      </c>
      <c r="C519" s="66">
        <v>10911.86</v>
      </c>
      <c r="D519" s="66">
        <v>12412.59</v>
      </c>
      <c r="E519" s="66">
        <v>14643.15</v>
      </c>
      <c r="F519" s="66">
        <v>15134</v>
      </c>
      <c r="G519" s="66">
        <v>18680.89</v>
      </c>
      <c r="H519" s="67">
        <v>30185.200000000001</v>
      </c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  <c r="AB519" s="48"/>
    </row>
    <row r="520" spans="1:28" ht="12.75" customHeight="1">
      <c r="A520" s="76"/>
      <c r="B520" s="76"/>
      <c r="C520" s="77"/>
      <c r="D520" s="76"/>
      <c r="E520" s="76"/>
      <c r="F520" s="76"/>
      <c r="G520" s="76"/>
      <c r="H520" s="76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  <c r="AB520" s="48"/>
    </row>
    <row r="521" spans="1:28" ht="12.75" customHeight="1">
      <c r="A521" s="78" t="s">
        <v>513</v>
      </c>
      <c r="B521" s="79">
        <v>21.4</v>
      </c>
      <c r="C521" s="80">
        <v>21.34</v>
      </c>
      <c r="D521" s="80">
        <v>23.78</v>
      </c>
      <c r="E521" s="80">
        <v>29.03</v>
      </c>
      <c r="F521" s="80">
        <v>30.18</v>
      </c>
      <c r="G521" s="80">
        <v>36.29</v>
      </c>
      <c r="H521" s="81">
        <v>60.6</v>
      </c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</row>
    <row r="522" spans="1:28" ht="12.75" customHeight="1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</row>
    <row r="523" spans="1:28" ht="12.75" customHeight="1">
      <c r="A523" s="9"/>
      <c r="B523" s="9"/>
      <c r="C523" s="9"/>
      <c r="D523" s="9"/>
      <c r="E523" s="9"/>
      <c r="F523" s="9"/>
      <c r="G523" s="9"/>
      <c r="H523" s="9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</row>
    <row r="524" spans="1:28" ht="12.75" customHeight="1">
      <c r="A524" s="1"/>
      <c r="B524" s="1"/>
      <c r="C524" s="1"/>
      <c r="D524" s="1"/>
      <c r="E524" s="1"/>
      <c r="F524" s="1"/>
      <c r="G524" s="1"/>
      <c r="H524" s="1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</row>
    <row r="525" spans="1:28" ht="12.75" customHeight="1">
      <c r="A525" s="82" t="s">
        <v>514</v>
      </c>
      <c r="B525" s="1"/>
      <c r="C525" s="1"/>
      <c r="D525" s="1"/>
      <c r="E525" s="83"/>
      <c r="F525" s="1"/>
      <c r="G525" s="1"/>
      <c r="H525" s="1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</row>
    <row r="526" spans="1:28" ht="12.75" customHeight="1">
      <c r="A526" s="82" t="s">
        <v>515</v>
      </c>
      <c r="B526" s="1"/>
      <c r="C526" s="1"/>
      <c r="D526" s="1"/>
      <c r="E526" s="83"/>
      <c r="F526" s="1"/>
      <c r="G526" s="1"/>
      <c r="H526" s="1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</row>
    <row r="527" spans="1:28" ht="12.75" customHeight="1">
      <c r="A527" s="82" t="s">
        <v>516</v>
      </c>
      <c r="B527" s="84"/>
      <c r="C527" s="84"/>
      <c r="D527" s="84"/>
      <c r="E527" s="83"/>
      <c r="F527" s="1"/>
      <c r="G527" s="1"/>
      <c r="H527" s="1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</row>
    <row r="528" spans="1:28" ht="12.75" customHeight="1">
      <c r="A528" s="82" t="s">
        <v>517</v>
      </c>
      <c r="B528" s="85"/>
      <c r="C528" s="85"/>
      <c r="D528" s="85"/>
      <c r="E528" s="83"/>
      <c r="F528" s="1"/>
      <c r="G528" s="1"/>
      <c r="H528" s="1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</row>
    <row r="529" spans="1:28" ht="12.75" customHeight="1">
      <c r="A529" s="86"/>
      <c r="B529" s="1"/>
      <c r="C529" s="1"/>
      <c r="D529" s="1"/>
      <c r="E529" s="83"/>
      <c r="F529" s="1"/>
      <c r="G529" s="1"/>
      <c r="H529" s="1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</row>
    <row r="530" spans="1:28" ht="12.75" customHeight="1">
      <c r="A530" s="86"/>
      <c r="B530" s="1"/>
      <c r="C530" s="1"/>
      <c r="D530" s="1"/>
      <c r="E530" s="1"/>
      <c r="F530" s="1"/>
      <c r="G530" s="1"/>
      <c r="H530" s="1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</row>
    <row r="531" spans="1:28" ht="12.75" customHeight="1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</row>
    <row r="532" spans="1:28" ht="12.75" customHeight="1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</row>
    <row r="533" spans="1:28" ht="12.75" customHeight="1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</row>
    <row r="534" spans="1:28" ht="12.75" customHeight="1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</row>
    <row r="535" spans="1:28" ht="12.75" customHeight="1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</row>
    <row r="536" spans="1:28" ht="12.75" customHeight="1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</row>
    <row r="537" spans="1:28" ht="12.75" customHeight="1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</row>
    <row r="538" spans="1:28" ht="12.75" customHeight="1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  <c r="AB538" s="48"/>
    </row>
    <row r="539" spans="1:28" ht="12.75" customHeight="1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  <c r="AB539" s="48"/>
    </row>
    <row r="540" spans="1:28" ht="12.75" customHeight="1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  <c r="AB540" s="48"/>
    </row>
    <row r="541" spans="1:28" ht="12.75" customHeight="1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  <c r="AB541" s="48"/>
    </row>
    <row r="542" spans="1:28" ht="12.75" customHeight="1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  <c r="AB542" s="48"/>
    </row>
    <row r="543" spans="1:28" ht="12.75" customHeight="1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  <c r="AB543" s="48"/>
    </row>
    <row r="544" spans="1:28" ht="12.75" customHeight="1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  <c r="AB544" s="48"/>
    </row>
    <row r="545" spans="1:28" ht="12.75" customHeight="1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  <c r="AB545" s="48"/>
    </row>
    <row r="546" spans="1:28" ht="12.75" customHeight="1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  <c r="AB546" s="48"/>
    </row>
    <row r="547" spans="1:28" ht="12.75" customHeight="1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  <c r="AB547" s="48"/>
    </row>
    <row r="548" spans="1:28" ht="12.75" customHeight="1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  <c r="AB548" s="48"/>
    </row>
    <row r="549" spans="1:28" ht="12.75" customHeight="1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  <c r="AB549" s="48"/>
    </row>
    <row r="550" spans="1:28" ht="12.75" customHeight="1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  <c r="AB550" s="48"/>
    </row>
    <row r="551" spans="1:28" ht="12.75" customHeight="1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  <c r="AB551" s="48"/>
    </row>
    <row r="552" spans="1:28" ht="12.75" customHeight="1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  <c r="AB552" s="48"/>
    </row>
    <row r="553" spans="1:28" ht="12.75" customHeight="1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  <c r="AB553" s="48"/>
    </row>
    <row r="554" spans="1:28" ht="12.75" customHeight="1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  <c r="AB554" s="48"/>
    </row>
    <row r="555" spans="1:28" ht="12.75" customHeight="1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  <c r="AB555" s="48"/>
    </row>
    <row r="556" spans="1:28" ht="12.75" customHeight="1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  <c r="AB556" s="48"/>
    </row>
    <row r="557" spans="1:28" ht="12.75" customHeight="1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  <c r="AB557" s="48"/>
    </row>
    <row r="558" spans="1:28" ht="12.75" customHeight="1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  <c r="AB558" s="48"/>
    </row>
    <row r="559" spans="1:28" ht="12.75" customHeight="1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  <c r="AB559" s="48"/>
    </row>
    <row r="560" spans="1:28" ht="12.75" customHeight="1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  <c r="AB560" s="48"/>
    </row>
    <row r="561" spans="1:28" ht="12.75" customHeight="1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  <c r="AB561" s="48"/>
    </row>
    <row r="562" spans="1:28" ht="12.75" customHeight="1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  <c r="AB562" s="48"/>
    </row>
    <row r="563" spans="1:28" ht="12.75" customHeight="1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  <c r="AB563" s="48"/>
    </row>
    <row r="564" spans="1:28" ht="12.75" customHeight="1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  <c r="AB564" s="48"/>
    </row>
    <row r="565" spans="1:28" ht="12.75" customHeight="1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  <c r="AB565" s="48"/>
    </row>
    <row r="566" spans="1:28" ht="12.75" customHeight="1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  <c r="AB566" s="48"/>
    </row>
    <row r="567" spans="1:28" ht="12.75" customHeight="1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  <c r="AB567" s="48"/>
    </row>
    <row r="568" spans="1:28" ht="12.75" customHeight="1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  <c r="AB568" s="48"/>
    </row>
    <row r="569" spans="1:28" ht="12.75" customHeight="1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  <c r="AB569" s="48"/>
    </row>
    <row r="570" spans="1:28" ht="12.75" customHeight="1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  <c r="AB570" s="48"/>
    </row>
    <row r="571" spans="1:28" ht="12.75" customHeight="1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  <c r="AB571" s="48"/>
    </row>
    <row r="572" spans="1:28" ht="12.75" customHeight="1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  <c r="AB572" s="48"/>
    </row>
    <row r="573" spans="1:28" ht="12.75" customHeight="1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  <c r="AB573" s="48"/>
    </row>
    <row r="574" spans="1:28" ht="12.75" customHeight="1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  <c r="AB574" s="48"/>
    </row>
    <row r="575" spans="1:28" ht="12.75" customHeight="1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  <c r="AB575" s="48"/>
    </row>
    <row r="576" spans="1:28" ht="12.75" customHeight="1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  <c r="AB576" s="48"/>
    </row>
    <row r="577" spans="1:28" ht="12.75" customHeight="1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  <c r="AB577" s="48"/>
    </row>
    <row r="578" spans="1:28" ht="12.75" customHeight="1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  <c r="AB578" s="48"/>
    </row>
    <row r="579" spans="1:28" ht="12.75" customHeight="1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  <c r="AB579" s="48"/>
    </row>
    <row r="580" spans="1:28" ht="12.75" customHeight="1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  <c r="AB580" s="48"/>
    </row>
    <row r="581" spans="1:28" ht="12.75" customHeight="1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  <c r="AB581" s="48"/>
    </row>
    <row r="582" spans="1:28" ht="12.75" customHeight="1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  <c r="AB582" s="48"/>
    </row>
    <row r="583" spans="1:28" ht="12.75" customHeight="1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  <c r="AB583" s="48"/>
    </row>
    <row r="584" spans="1:28" ht="12.75" customHeight="1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  <c r="AB584" s="48"/>
    </row>
    <row r="585" spans="1:28" ht="12.75" customHeight="1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  <c r="AB585" s="48"/>
    </row>
    <row r="586" spans="1:28" ht="12.75" customHeight="1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  <c r="AB586" s="48"/>
    </row>
    <row r="587" spans="1:28" ht="12.75" customHeight="1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  <c r="AB587" s="48"/>
    </row>
    <row r="588" spans="1:28" ht="12.75" customHeight="1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  <c r="AB588" s="48"/>
    </row>
    <row r="589" spans="1:28" ht="12.75" customHeight="1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  <c r="AB589" s="48"/>
    </row>
    <row r="590" spans="1:28" ht="12.75" customHeight="1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  <c r="AB590" s="48"/>
    </row>
    <row r="591" spans="1:28" ht="12.75" customHeight="1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  <c r="AB591" s="48"/>
    </row>
    <row r="592" spans="1:28" ht="12.75" customHeight="1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  <c r="AB592" s="48"/>
    </row>
    <row r="593" spans="1:28" ht="12.75" customHeight="1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  <c r="AB593" s="48"/>
    </row>
    <row r="594" spans="1:28" ht="12.75" customHeight="1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  <c r="AB594" s="48"/>
    </row>
    <row r="595" spans="1:28" ht="12.75" customHeight="1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  <c r="AB595" s="48"/>
    </row>
    <row r="596" spans="1:28" ht="12.75" customHeight="1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  <c r="AB596" s="48"/>
    </row>
    <row r="597" spans="1:28" ht="12.75" customHeight="1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  <c r="AB597" s="48"/>
    </row>
    <row r="598" spans="1:28" ht="12.75" customHeight="1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  <c r="AB598" s="48"/>
    </row>
    <row r="599" spans="1:28" ht="12.75" customHeight="1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  <c r="AB599" s="48"/>
    </row>
    <row r="600" spans="1:28" ht="12.75" customHeight="1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  <c r="AB600" s="48"/>
    </row>
    <row r="601" spans="1:28" ht="12.75" customHeight="1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  <c r="AB601" s="48"/>
    </row>
    <row r="602" spans="1:28" ht="12.75" customHeight="1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  <c r="AB602" s="48"/>
    </row>
    <row r="603" spans="1:28" ht="12.75" customHeight="1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  <c r="AB603" s="48"/>
    </row>
    <row r="604" spans="1:28" ht="12.75" customHeight="1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  <c r="AB604" s="48"/>
    </row>
    <row r="605" spans="1:28" ht="12.75" customHeight="1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  <c r="AB605" s="48"/>
    </row>
    <row r="606" spans="1:28" ht="12.75" customHeight="1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  <c r="AB606" s="48"/>
    </row>
    <row r="607" spans="1:28" ht="12.75" customHeight="1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  <c r="AB607" s="48"/>
    </row>
    <row r="608" spans="1:28" ht="12.75" customHeight="1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  <c r="AB608" s="48"/>
    </row>
    <row r="609" spans="1:28" ht="12.75" customHeight="1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  <c r="AB609" s="48"/>
    </row>
    <row r="610" spans="1:28" ht="12.75" customHeight="1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  <c r="AB610" s="48"/>
    </row>
    <row r="611" spans="1:28" ht="12.75" customHeight="1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  <c r="AB611" s="48"/>
    </row>
    <row r="612" spans="1:28" ht="12.75" customHeight="1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  <c r="AB612" s="48"/>
    </row>
    <row r="613" spans="1:28" ht="12.75" customHeight="1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  <c r="AB613" s="48"/>
    </row>
    <row r="614" spans="1:28" ht="12.75" customHeight="1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  <c r="AB614" s="48"/>
    </row>
    <row r="615" spans="1:28" ht="12.75" customHeight="1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  <c r="AB615" s="48"/>
    </row>
    <row r="616" spans="1:28" ht="12.75" customHeight="1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  <c r="AB616" s="48"/>
    </row>
    <row r="617" spans="1:28" ht="12.75" customHeight="1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  <c r="AB617" s="48"/>
    </row>
    <row r="618" spans="1:28" ht="12.75" customHeight="1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  <c r="AB618" s="48"/>
    </row>
    <row r="619" spans="1:28" ht="12.75" customHeight="1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  <c r="AB619" s="48"/>
    </row>
    <row r="620" spans="1:28" ht="12.75" customHeight="1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  <c r="AB620" s="48"/>
    </row>
    <row r="621" spans="1:28" ht="12.75" customHeight="1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  <c r="AB621" s="48"/>
    </row>
    <row r="622" spans="1:28" ht="12.75" customHeight="1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  <c r="AB622" s="48"/>
    </row>
    <row r="623" spans="1:28" ht="12.75" customHeight="1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  <c r="AB623" s="48"/>
    </row>
    <row r="624" spans="1:28" ht="12.75" customHeight="1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  <c r="AB624" s="48"/>
    </row>
    <row r="625" spans="1:28" ht="12.75" customHeight="1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  <c r="AB625" s="48"/>
    </row>
    <row r="626" spans="1:28" ht="12.75" customHeight="1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  <c r="AB626" s="48"/>
    </row>
    <row r="627" spans="1:28" ht="12.75" customHeight="1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  <c r="AB627" s="48"/>
    </row>
    <row r="628" spans="1:28" ht="12.75" customHeight="1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  <c r="AB628" s="48"/>
    </row>
    <row r="629" spans="1:28" ht="12.75" customHeight="1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  <c r="AB629" s="48"/>
    </row>
    <row r="630" spans="1:28" ht="12.75" customHeight="1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  <c r="AB630" s="48"/>
    </row>
    <row r="631" spans="1:28" ht="12.75" customHeight="1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  <c r="AB631" s="48"/>
    </row>
    <row r="632" spans="1:28" ht="12.75" customHeight="1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  <c r="AB632" s="48"/>
    </row>
    <row r="633" spans="1:28" ht="12.75" customHeight="1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  <c r="AB633" s="48"/>
    </row>
    <row r="634" spans="1:28" ht="12.75" customHeight="1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  <c r="AB634" s="48"/>
    </row>
    <row r="635" spans="1:28" ht="12.75" customHeight="1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  <c r="AB635" s="48"/>
    </row>
    <row r="636" spans="1:28" ht="12.75" customHeight="1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  <c r="AB636" s="48"/>
    </row>
    <row r="637" spans="1:28" ht="12.75" customHeight="1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  <c r="AB637" s="48"/>
    </row>
    <row r="638" spans="1:28" ht="12.75" customHeight="1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  <c r="AB638" s="48"/>
    </row>
    <row r="639" spans="1:28" ht="12.75" customHeight="1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  <c r="AB639" s="48"/>
    </row>
    <row r="640" spans="1:28" ht="12.75" customHeight="1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  <c r="AB640" s="48"/>
    </row>
    <row r="641" spans="1:28" ht="12.75" customHeight="1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  <c r="AB641" s="48"/>
    </row>
    <row r="642" spans="1:28" ht="12.75" customHeight="1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  <c r="AB642" s="48"/>
    </row>
    <row r="643" spans="1:28" ht="12.75" customHeight="1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  <c r="AB643" s="48"/>
    </row>
    <row r="644" spans="1:28" ht="12.75" customHeight="1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  <c r="AB644" s="48"/>
    </row>
    <row r="645" spans="1:28" ht="12.75" customHeight="1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  <c r="AB645" s="48"/>
    </row>
    <row r="646" spans="1:28" ht="12.75" customHeight="1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  <c r="AB646" s="48"/>
    </row>
    <row r="647" spans="1:28" ht="12.75" customHeight="1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  <c r="AB647" s="48"/>
    </row>
    <row r="648" spans="1:28" ht="12.75" customHeight="1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  <c r="AB648" s="48"/>
    </row>
    <row r="649" spans="1:28" ht="12.75" customHeight="1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  <c r="AB649" s="48"/>
    </row>
    <row r="650" spans="1:28" ht="12.75" customHeight="1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  <c r="AB650" s="48"/>
    </row>
    <row r="651" spans="1:28" ht="12.75" customHeight="1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  <c r="AB651" s="48"/>
    </row>
    <row r="652" spans="1:28" ht="12.75" customHeight="1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  <c r="AB652" s="48"/>
    </row>
    <row r="653" spans="1:28" ht="12.75" customHeight="1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  <c r="AB653" s="48"/>
    </row>
    <row r="654" spans="1:28" ht="12.75" customHeight="1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  <c r="AB654" s="48"/>
    </row>
    <row r="655" spans="1:28" ht="12.75" customHeight="1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  <c r="AB655" s="48"/>
    </row>
    <row r="656" spans="1:28" ht="12.75" customHeight="1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  <c r="AB656" s="48"/>
    </row>
    <row r="657" spans="1:28" ht="12.75" customHeight="1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  <c r="AB657" s="48"/>
    </row>
    <row r="658" spans="1:28" ht="12.75" customHeight="1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  <c r="AB658" s="48"/>
    </row>
    <row r="659" spans="1:28" ht="12.75" customHeight="1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  <c r="AB659" s="48"/>
    </row>
    <row r="660" spans="1:28" ht="12.75" customHeight="1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  <c r="AB660" s="48"/>
    </row>
    <row r="661" spans="1:28" ht="12.75" customHeight="1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  <c r="AB661" s="48"/>
    </row>
    <row r="662" spans="1:28" ht="12.75" customHeight="1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  <c r="AB662" s="48"/>
    </row>
    <row r="663" spans="1:28" ht="12.75" customHeight="1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  <c r="AB663" s="48"/>
    </row>
    <row r="664" spans="1:28" ht="12.75" customHeight="1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  <c r="AB664" s="48"/>
    </row>
    <row r="665" spans="1:28" ht="12.75" customHeight="1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  <c r="AB665" s="48"/>
    </row>
    <row r="666" spans="1:28" ht="12.75" customHeight="1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  <c r="AB666" s="48"/>
    </row>
    <row r="667" spans="1:28" ht="12.75" customHeight="1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  <c r="AB667" s="48"/>
    </row>
    <row r="668" spans="1:28" ht="12.75" customHeight="1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  <c r="AB668" s="48"/>
    </row>
    <row r="669" spans="1:28" ht="12.75" customHeight="1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  <c r="AB669" s="48"/>
    </row>
    <row r="670" spans="1:28" ht="12.75" customHeight="1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  <c r="AB670" s="48"/>
    </row>
    <row r="671" spans="1:28" ht="12.75" customHeight="1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  <c r="AB671" s="48"/>
    </row>
    <row r="672" spans="1:28" ht="12.75" customHeight="1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  <c r="AB672" s="48"/>
    </row>
    <row r="673" spans="1:28" ht="12.75" customHeight="1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  <c r="AB673" s="48"/>
    </row>
    <row r="674" spans="1:28" ht="12.75" customHeight="1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  <c r="AB674" s="48"/>
    </row>
    <row r="675" spans="1:28" ht="12.75" customHeight="1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  <c r="AB675" s="48"/>
    </row>
    <row r="676" spans="1:28" ht="12.75" customHeight="1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  <c r="AB676" s="48"/>
    </row>
    <row r="677" spans="1:28" ht="12.75" customHeight="1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  <c r="AB677" s="48"/>
    </row>
    <row r="678" spans="1:28" ht="12.75" customHeight="1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  <c r="AB678" s="48"/>
    </row>
    <row r="679" spans="1:28" ht="12.75" customHeight="1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  <c r="AB679" s="48"/>
    </row>
    <row r="680" spans="1:28" ht="12.75" customHeight="1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  <c r="AB680" s="48"/>
    </row>
    <row r="681" spans="1:28" ht="12.75" customHeight="1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  <c r="AB681" s="48"/>
    </row>
    <row r="682" spans="1:28" ht="12.75" customHeight="1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  <c r="AB682" s="48"/>
    </row>
    <row r="683" spans="1:28" ht="12.75" customHeight="1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  <c r="AB683" s="48"/>
    </row>
    <row r="684" spans="1:28" ht="12.75" customHeight="1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  <c r="AB684" s="48"/>
    </row>
    <row r="685" spans="1:28" ht="12.75" customHeight="1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  <c r="AB685" s="48"/>
    </row>
    <row r="686" spans="1:28" ht="12.75" customHeight="1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  <c r="AB686" s="48"/>
    </row>
    <row r="687" spans="1:28" ht="12.75" customHeight="1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  <c r="AB687" s="48"/>
    </row>
    <row r="688" spans="1:28" ht="12.75" customHeight="1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  <c r="AB688" s="48"/>
    </row>
    <row r="689" spans="1:28" ht="12.75" customHeight="1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  <c r="AB689" s="48"/>
    </row>
    <row r="690" spans="1:28" ht="12.75" customHeight="1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  <c r="AB690" s="48"/>
    </row>
    <row r="691" spans="1:28" ht="12.75" customHeight="1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  <c r="AB691" s="48"/>
    </row>
    <row r="692" spans="1:28" ht="12.75" customHeight="1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  <c r="AB692" s="48"/>
    </row>
    <row r="693" spans="1:28" ht="12.75" customHeight="1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  <c r="AB693" s="48"/>
    </row>
    <row r="694" spans="1:28" ht="12.75" customHeight="1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  <c r="AB694" s="48"/>
    </row>
    <row r="695" spans="1:28" ht="12.75" customHeight="1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  <c r="AB695" s="48"/>
    </row>
    <row r="696" spans="1:28" ht="12.75" customHeight="1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  <c r="AB696" s="48"/>
    </row>
    <row r="697" spans="1:28" ht="12.75" customHeight="1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  <c r="AB697" s="48"/>
    </row>
    <row r="698" spans="1:28" ht="12.75" customHeight="1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  <c r="AB698" s="48"/>
    </row>
    <row r="699" spans="1:28" ht="12.75" customHeight="1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  <c r="AB699" s="48"/>
    </row>
    <row r="700" spans="1:28" ht="12.75" customHeight="1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  <c r="AB700" s="48"/>
    </row>
    <row r="701" spans="1:28" ht="12.75" customHeight="1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  <c r="AB701" s="48"/>
    </row>
    <row r="702" spans="1:28" ht="12.75" customHeight="1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  <c r="AB702" s="48"/>
    </row>
    <row r="703" spans="1:28" ht="12.75" customHeight="1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</row>
    <row r="704" spans="1:28" ht="12.75" customHeight="1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  <c r="AB704" s="48"/>
    </row>
    <row r="705" spans="1:28" ht="12.75" customHeight="1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  <c r="AB705" s="48"/>
    </row>
    <row r="706" spans="1:28" ht="12.75" customHeight="1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  <c r="AB706" s="48"/>
    </row>
    <row r="707" spans="1:28" ht="12.75" customHeight="1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  <c r="AB707" s="48"/>
    </row>
    <row r="708" spans="1:28" ht="12.75" customHeight="1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  <c r="AB708" s="48"/>
    </row>
    <row r="709" spans="1:28" ht="12.75" customHeight="1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  <c r="AB709" s="48"/>
    </row>
    <row r="710" spans="1:28" ht="12.75" customHeight="1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  <c r="AB710" s="48"/>
    </row>
    <row r="711" spans="1:28" ht="12.75" customHeight="1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  <c r="AB711" s="48"/>
    </row>
    <row r="712" spans="1:28" ht="12.75" customHeight="1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  <c r="AB712" s="48"/>
    </row>
    <row r="713" spans="1:28" ht="12.75" customHeight="1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  <c r="AB713" s="48"/>
    </row>
    <row r="714" spans="1:28" ht="12.75" customHeight="1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  <c r="AB714" s="48"/>
    </row>
    <row r="715" spans="1:28" ht="12.75" customHeight="1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  <c r="AB715" s="48"/>
    </row>
    <row r="716" spans="1:28" ht="12.75" customHeight="1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  <c r="AB716" s="48"/>
    </row>
    <row r="717" spans="1:28" ht="12.75" customHeight="1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  <c r="AB717" s="48"/>
    </row>
    <row r="718" spans="1:28" ht="12.75" customHeight="1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  <c r="AB718" s="48"/>
    </row>
    <row r="719" spans="1:28" ht="12.75" customHeight="1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  <c r="AB719" s="48"/>
    </row>
    <row r="720" spans="1:28" ht="12.75" customHeight="1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  <c r="AB720" s="48"/>
    </row>
    <row r="721" spans="1:28" ht="12.75" customHeight="1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  <c r="AB721" s="48"/>
    </row>
    <row r="722" spans="1:28" ht="12.75" customHeight="1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  <c r="AB722" s="48"/>
    </row>
    <row r="723" spans="1:28" ht="12.75" customHeight="1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  <c r="AB723" s="48"/>
    </row>
    <row r="724" spans="1:28" ht="12.75" customHeight="1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  <c r="AB724" s="48"/>
    </row>
    <row r="725" spans="1:28" ht="12.75" customHeight="1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  <c r="AB725" s="48"/>
    </row>
    <row r="726" spans="1:28" ht="12.75" customHeight="1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  <c r="AB726" s="48"/>
    </row>
    <row r="727" spans="1:28" ht="12.75" customHeight="1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  <c r="AB727" s="48"/>
    </row>
    <row r="728" spans="1:28" ht="12.75" customHeight="1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  <c r="AB728" s="48"/>
    </row>
    <row r="729" spans="1:28" ht="12.75" customHeight="1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  <c r="AB729" s="48"/>
    </row>
    <row r="730" spans="1:28" ht="12.75" customHeight="1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  <c r="AB730" s="48"/>
    </row>
    <row r="731" spans="1:28" ht="12.75" customHeight="1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  <c r="AB731" s="48"/>
    </row>
    <row r="732" spans="1:28" ht="12.75" customHeight="1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  <c r="AB732" s="48"/>
    </row>
    <row r="733" spans="1:28" ht="12.75" customHeight="1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  <c r="AB733" s="48"/>
    </row>
    <row r="734" spans="1:28" ht="12.75" customHeight="1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  <c r="AB734" s="48"/>
    </row>
    <row r="735" spans="1:28" ht="12.75" customHeight="1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  <c r="AB735" s="48"/>
    </row>
    <row r="736" spans="1:28" ht="12.75" customHeight="1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  <c r="AB736" s="48"/>
    </row>
    <row r="737" spans="1:28" ht="12.75" customHeight="1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  <c r="AB737" s="48"/>
    </row>
    <row r="738" spans="1:28" ht="12.75" customHeight="1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  <c r="AB738" s="48"/>
    </row>
    <row r="739" spans="1:28" ht="12.75" customHeight="1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  <c r="AB739" s="48"/>
    </row>
    <row r="740" spans="1:28" ht="12.75" customHeight="1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  <c r="AB740" s="48"/>
    </row>
    <row r="741" spans="1:28" ht="12.75" customHeight="1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  <c r="AB741" s="48"/>
    </row>
    <row r="742" spans="1:28" ht="12.75" customHeight="1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  <c r="AB742" s="48"/>
    </row>
    <row r="743" spans="1:28" ht="12.75" customHeight="1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  <c r="AB743" s="48"/>
    </row>
    <row r="744" spans="1:28" ht="12.75" customHeight="1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  <c r="AB744" s="48"/>
    </row>
    <row r="745" spans="1:28" ht="12.75" customHeight="1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  <c r="AB745" s="48"/>
    </row>
    <row r="746" spans="1:28" ht="12.75" customHeight="1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  <c r="AB746" s="48"/>
    </row>
    <row r="747" spans="1:28" ht="12.75" customHeight="1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  <c r="AB747" s="48"/>
    </row>
    <row r="748" spans="1:28" ht="12.75" customHeight="1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  <c r="AB748" s="48"/>
    </row>
    <row r="749" spans="1:28" ht="12.75" customHeight="1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  <c r="AB749" s="48"/>
    </row>
    <row r="750" spans="1:28" ht="12.75" customHeight="1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  <c r="AB750" s="48"/>
    </row>
    <row r="751" spans="1:28" ht="12.75" customHeight="1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  <c r="AB751" s="48"/>
    </row>
    <row r="752" spans="1:28" ht="12.75" customHeight="1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  <c r="AB752" s="48"/>
    </row>
    <row r="753" spans="1:28" ht="12.75" customHeight="1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  <c r="AB753" s="48"/>
    </row>
    <row r="754" spans="1:28" ht="12.75" customHeight="1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  <c r="AB754" s="48"/>
    </row>
    <row r="755" spans="1:28" ht="12.75" customHeight="1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  <c r="AB755" s="48"/>
    </row>
    <row r="756" spans="1:28" ht="12.75" customHeight="1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  <c r="AB756" s="48"/>
    </row>
    <row r="757" spans="1:28" ht="12.75" customHeight="1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  <c r="AB757" s="48"/>
    </row>
    <row r="758" spans="1:28" ht="12.75" customHeight="1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  <c r="AB758" s="48"/>
    </row>
    <row r="759" spans="1:28" ht="12.75" customHeight="1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  <c r="AB759" s="48"/>
    </row>
    <row r="760" spans="1:28" ht="12.75" customHeight="1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  <c r="AB760" s="48"/>
    </row>
    <row r="761" spans="1:28" ht="12.75" customHeight="1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  <c r="AB761" s="48"/>
    </row>
    <row r="762" spans="1:28" ht="12.75" customHeight="1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  <c r="AB762" s="48"/>
    </row>
    <row r="763" spans="1:28" ht="12.75" customHeight="1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  <c r="AB763" s="48"/>
    </row>
    <row r="764" spans="1:28" ht="12.75" customHeight="1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  <c r="AB764" s="48"/>
    </row>
    <row r="765" spans="1:28" ht="12.75" customHeight="1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  <c r="AB765" s="48"/>
    </row>
    <row r="766" spans="1:28" ht="12.75" customHeight="1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  <c r="AB766" s="48"/>
    </row>
    <row r="767" spans="1:28" ht="12.75" customHeight="1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  <c r="AB767" s="48"/>
    </row>
    <row r="768" spans="1:28" ht="12.75" customHeight="1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  <c r="AB768" s="48"/>
    </row>
    <row r="769" spans="1:28" ht="12.75" customHeight="1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  <c r="AB769" s="48"/>
    </row>
    <row r="770" spans="1:28" ht="12.75" customHeight="1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  <c r="AB770" s="48"/>
    </row>
    <row r="771" spans="1:28" ht="12.75" customHeight="1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  <c r="AB771" s="48"/>
    </row>
    <row r="772" spans="1:28" ht="12.75" customHeight="1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  <c r="AB772" s="48"/>
    </row>
    <row r="773" spans="1:28" ht="12.75" customHeight="1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  <c r="AB773" s="48"/>
    </row>
    <row r="774" spans="1:28" ht="12.75" customHeight="1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  <c r="AB774" s="48"/>
    </row>
    <row r="775" spans="1:28" ht="12.75" customHeight="1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  <c r="AB775" s="48"/>
    </row>
    <row r="776" spans="1:28" ht="12.75" customHeight="1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  <c r="AB776" s="48"/>
    </row>
    <row r="777" spans="1:28" ht="12.75" customHeight="1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  <c r="AB777" s="48"/>
    </row>
    <row r="778" spans="1:28" ht="12.75" customHeight="1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  <c r="AB778" s="48"/>
    </row>
    <row r="779" spans="1:28" ht="12.75" customHeight="1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  <c r="AB779" s="48"/>
    </row>
    <row r="780" spans="1:28" ht="12.75" customHeight="1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  <c r="AB780" s="48"/>
    </row>
    <row r="781" spans="1:28" ht="12.75" customHeight="1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  <c r="AB781" s="48"/>
    </row>
    <row r="782" spans="1:28" ht="12.75" customHeight="1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  <c r="AB782" s="48"/>
    </row>
    <row r="783" spans="1:28" ht="12.75" customHeight="1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  <c r="AB783" s="48"/>
    </row>
    <row r="784" spans="1:28" ht="12.75" customHeight="1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  <c r="AB784" s="48"/>
    </row>
    <row r="785" spans="1:28" ht="12.75" customHeight="1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  <c r="AB785" s="48"/>
    </row>
    <row r="786" spans="1:28" ht="12.75" customHeight="1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  <c r="AB786" s="48"/>
    </row>
    <row r="787" spans="1:28" ht="12.75" customHeight="1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  <c r="AB787" s="48"/>
    </row>
    <row r="788" spans="1:28" ht="12.75" customHeight="1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  <c r="AB788" s="48"/>
    </row>
    <row r="789" spans="1:28" ht="12.75" customHeight="1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  <c r="AB789" s="48"/>
    </row>
    <row r="790" spans="1:28" ht="12.75" customHeight="1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</row>
    <row r="791" spans="1:28" ht="12.75" customHeight="1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</row>
    <row r="792" spans="1:28" ht="12.75" customHeight="1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</row>
    <row r="793" spans="1:28" ht="12.75" customHeight="1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  <c r="AB793" s="48"/>
    </row>
    <row r="794" spans="1:28" ht="12.75" customHeight="1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  <c r="AB794" s="48"/>
    </row>
    <row r="795" spans="1:28" ht="12.75" customHeight="1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  <c r="AB795" s="48"/>
    </row>
    <row r="796" spans="1:28" ht="12.75" customHeight="1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  <c r="AB796" s="48"/>
    </row>
    <row r="797" spans="1:28" ht="12.75" customHeight="1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  <c r="AB797" s="48"/>
    </row>
    <row r="798" spans="1:28" ht="12.75" customHeight="1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  <c r="AB798" s="48"/>
    </row>
    <row r="799" spans="1:28" ht="12.75" customHeight="1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  <c r="AB799" s="48"/>
    </row>
    <row r="800" spans="1:28" ht="12.75" customHeight="1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  <c r="AB800" s="48"/>
    </row>
    <row r="801" spans="1:28" ht="12.75" customHeight="1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  <c r="AB801" s="48"/>
    </row>
    <row r="802" spans="1:28" ht="12.75" customHeight="1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  <c r="AB802" s="48"/>
    </row>
    <row r="803" spans="1:28" ht="12.75" customHeight="1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  <c r="AB803" s="48"/>
    </row>
    <row r="804" spans="1:28" ht="12.75" customHeight="1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  <c r="AB804" s="48"/>
    </row>
    <row r="805" spans="1:28" ht="12.75" customHeight="1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  <c r="AB805" s="48"/>
    </row>
    <row r="806" spans="1:28" ht="12.75" customHeight="1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  <c r="AB806" s="48"/>
    </row>
    <row r="807" spans="1:28" ht="12.75" customHeight="1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  <c r="AB807" s="48"/>
    </row>
    <row r="808" spans="1:28" ht="12.75" customHeight="1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  <c r="AB808" s="48"/>
    </row>
    <row r="809" spans="1:28" ht="12.75" customHeight="1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  <c r="AB809" s="48"/>
    </row>
    <row r="810" spans="1:28" ht="12.75" customHeight="1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  <c r="AB810" s="48"/>
    </row>
    <row r="811" spans="1:28" ht="12.75" customHeight="1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  <c r="AB811" s="48"/>
    </row>
    <row r="812" spans="1:28" ht="12.75" customHeight="1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  <c r="AB812" s="48"/>
    </row>
    <row r="813" spans="1:28" ht="12.75" customHeight="1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  <c r="AB813" s="48"/>
    </row>
    <row r="814" spans="1:28" ht="12.75" customHeight="1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  <c r="AB814" s="48"/>
    </row>
    <row r="815" spans="1:28" ht="12.75" customHeight="1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  <c r="AB815" s="48"/>
    </row>
    <row r="816" spans="1:28" ht="12.75" customHeight="1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  <c r="AB816" s="48"/>
    </row>
    <row r="817" spans="1:28" ht="12.75" customHeight="1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  <c r="AB817" s="48"/>
    </row>
    <row r="818" spans="1:28" ht="12.75" customHeight="1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  <c r="AB818" s="48"/>
    </row>
    <row r="819" spans="1:28" ht="12.75" customHeight="1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  <c r="AB819" s="48"/>
    </row>
    <row r="820" spans="1:28" ht="12.75" customHeight="1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  <c r="AB820" s="48"/>
    </row>
    <row r="821" spans="1:28" ht="12.75" customHeight="1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  <c r="AB821" s="48"/>
    </row>
    <row r="822" spans="1:28" ht="12.75" customHeight="1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  <c r="AB822" s="48"/>
    </row>
    <row r="823" spans="1:28" ht="12.75" customHeight="1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  <c r="AB823" s="48"/>
    </row>
    <row r="824" spans="1:28" ht="12.75" customHeight="1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  <c r="AB824" s="48"/>
    </row>
    <row r="825" spans="1:28" ht="12.75" customHeight="1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  <c r="AB825" s="48"/>
    </row>
    <row r="826" spans="1:28" ht="12.75" customHeight="1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  <c r="AB826" s="48"/>
    </row>
    <row r="827" spans="1:28" ht="12.75" customHeight="1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  <c r="AB827" s="48"/>
    </row>
    <row r="828" spans="1:28" ht="12.75" customHeight="1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  <c r="AB828" s="48"/>
    </row>
    <row r="829" spans="1:28" ht="12.75" customHeight="1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  <c r="AB829" s="48"/>
    </row>
    <row r="830" spans="1:28" ht="12.75" customHeight="1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  <c r="AB830" s="48"/>
    </row>
    <row r="831" spans="1:28" ht="12.75" customHeight="1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  <c r="AB831" s="48"/>
    </row>
    <row r="832" spans="1:28" ht="12.75" customHeight="1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  <c r="AB832" s="48"/>
    </row>
    <row r="833" spans="1:28" ht="12.75" customHeight="1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  <c r="AB833" s="48"/>
    </row>
    <row r="834" spans="1:28" ht="12.75" customHeight="1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  <c r="AB834" s="48"/>
    </row>
    <row r="835" spans="1:28" ht="12.75" customHeight="1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  <c r="AB835" s="48"/>
    </row>
    <row r="836" spans="1:28" ht="12.75" customHeight="1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  <c r="AB836" s="48"/>
    </row>
    <row r="837" spans="1:28" ht="12.75" customHeight="1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  <c r="AB837" s="48"/>
    </row>
    <row r="838" spans="1:28" ht="12.75" customHeight="1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  <c r="AB838" s="48"/>
    </row>
    <row r="839" spans="1:28" ht="12.75" customHeight="1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  <c r="AB839" s="48"/>
    </row>
    <row r="840" spans="1:28" ht="12.75" customHeight="1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  <c r="AB840" s="48"/>
    </row>
    <row r="841" spans="1:28" ht="12.75" customHeight="1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  <c r="AB841" s="48"/>
    </row>
    <row r="842" spans="1:28" ht="12.75" customHeight="1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  <c r="AB842" s="48"/>
    </row>
    <row r="843" spans="1:28" ht="12.75" customHeight="1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  <c r="AB843" s="48"/>
    </row>
    <row r="844" spans="1:28" ht="12.75" customHeight="1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  <c r="AB844" s="48"/>
    </row>
    <row r="845" spans="1:28" ht="12.75" customHeight="1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  <c r="AB845" s="48"/>
    </row>
    <row r="846" spans="1:28" ht="12.75" customHeight="1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  <c r="AB846" s="48"/>
    </row>
    <row r="847" spans="1:28" ht="12.75" customHeight="1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  <c r="AB847" s="48"/>
    </row>
    <row r="848" spans="1:28" ht="12.75" customHeight="1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  <c r="AB848" s="48"/>
    </row>
    <row r="849" spans="1:28" ht="12.75" customHeight="1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  <c r="AB849" s="48"/>
    </row>
    <row r="850" spans="1:28" ht="12.75" customHeight="1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  <c r="AB850" s="48"/>
    </row>
    <row r="851" spans="1:28" ht="12.75" customHeight="1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  <c r="AB851" s="48"/>
    </row>
    <row r="852" spans="1:28" ht="12.75" customHeight="1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  <c r="AB852" s="48"/>
    </row>
    <row r="853" spans="1:28" ht="12.75" customHeight="1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  <c r="AB853" s="48"/>
    </row>
    <row r="854" spans="1:28" ht="12.75" customHeight="1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  <c r="AB854" s="48"/>
    </row>
    <row r="855" spans="1:28" ht="12.75" customHeight="1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  <c r="AB855" s="48"/>
    </row>
    <row r="856" spans="1:28" ht="12.75" customHeight="1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  <c r="AB856" s="48"/>
    </row>
    <row r="857" spans="1:28" ht="12.75" customHeight="1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  <c r="AB857" s="48"/>
    </row>
    <row r="858" spans="1:28" ht="12.75" customHeight="1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  <c r="AB858" s="48"/>
    </row>
    <row r="859" spans="1:28" ht="12.75" customHeight="1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  <c r="AB859" s="48"/>
    </row>
    <row r="860" spans="1:28" ht="12.75" customHeight="1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  <c r="AB860" s="48"/>
    </row>
    <row r="861" spans="1:28" ht="12.75" customHeight="1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  <c r="AB861" s="48"/>
    </row>
    <row r="862" spans="1:28" ht="12.75" customHeight="1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  <c r="AB862" s="48"/>
    </row>
    <row r="863" spans="1:28" ht="12.75" customHeight="1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  <c r="AB863" s="48"/>
    </row>
    <row r="864" spans="1:28" ht="12.75" customHeight="1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  <c r="AB864" s="48"/>
    </row>
    <row r="865" spans="1:28" ht="12.75" customHeight="1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  <c r="AB865" s="48"/>
    </row>
    <row r="866" spans="1:28" ht="12.75" customHeight="1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  <c r="AB866" s="48"/>
    </row>
    <row r="867" spans="1:28" ht="12.75" customHeight="1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  <c r="AB867" s="48"/>
    </row>
    <row r="868" spans="1:28" ht="12.75" customHeight="1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  <c r="AB868" s="48"/>
    </row>
    <row r="869" spans="1:28" ht="12.75" customHeight="1">
      <c r="A869" s="48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  <c r="AB869" s="48"/>
    </row>
    <row r="870" spans="1:28" ht="12.75" customHeight="1">
      <c r="A870" s="48"/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  <c r="AB870" s="48"/>
    </row>
    <row r="871" spans="1:28" ht="12.75" customHeight="1">
      <c r="A871" s="48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  <c r="AB871" s="48"/>
    </row>
    <row r="872" spans="1:28" ht="12.75" customHeight="1">
      <c r="A872" s="48"/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  <c r="AB872" s="48"/>
    </row>
    <row r="873" spans="1:28" ht="12.75" customHeight="1">
      <c r="A873" s="48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  <c r="AB873" s="48"/>
    </row>
    <row r="874" spans="1:28" ht="12.75" customHeight="1">
      <c r="A874" s="48"/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  <c r="AB874" s="48"/>
    </row>
    <row r="875" spans="1:28" ht="12.75" customHeight="1">
      <c r="A875" s="48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  <c r="AB875" s="48"/>
    </row>
    <row r="876" spans="1:28" ht="12.75" customHeight="1">
      <c r="A876" s="48"/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  <c r="AB876" s="48"/>
    </row>
    <row r="877" spans="1:28" ht="12.75" customHeight="1">
      <c r="A877" s="48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  <c r="AB877" s="48"/>
    </row>
    <row r="878" spans="1:28" ht="12.75" customHeight="1">
      <c r="A878" s="48"/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  <c r="AB878" s="48"/>
    </row>
    <row r="879" spans="1:28" ht="12.75" customHeight="1">
      <c r="A879" s="48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  <c r="AB879" s="48"/>
    </row>
    <row r="880" spans="1:28" ht="12.75" customHeight="1">
      <c r="A880" s="48"/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  <c r="AB880" s="48"/>
    </row>
    <row r="881" spans="1:28" ht="12.75" customHeight="1">
      <c r="A881" s="48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  <c r="AB881" s="48"/>
    </row>
    <row r="882" spans="1:28" ht="12.75" customHeight="1">
      <c r="A882" s="48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  <c r="AB882" s="48"/>
    </row>
    <row r="883" spans="1:28" ht="12.75" customHeight="1">
      <c r="A883" s="48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  <c r="AB883" s="48"/>
    </row>
    <row r="884" spans="1:28" ht="12.75" customHeight="1">
      <c r="A884" s="48"/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  <c r="AB884" s="48"/>
    </row>
    <row r="885" spans="1:28" ht="12.75" customHeight="1">
      <c r="A885" s="48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  <c r="AB885" s="48"/>
    </row>
    <row r="886" spans="1:28" ht="12.75" customHeight="1">
      <c r="A886" s="48"/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  <c r="AB886" s="48"/>
    </row>
    <row r="887" spans="1:28" ht="12.75" customHeight="1">
      <c r="A887" s="48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  <c r="AB887" s="48"/>
    </row>
    <row r="888" spans="1:28" ht="12.75" customHeight="1">
      <c r="A888" s="48"/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  <c r="AB888" s="48"/>
    </row>
    <row r="889" spans="1:28" ht="12.75" customHeight="1">
      <c r="A889" s="48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  <c r="AB889" s="48"/>
    </row>
    <row r="890" spans="1:28" ht="12.75" customHeight="1">
      <c r="A890" s="48"/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  <c r="AB890" s="48"/>
    </row>
    <row r="891" spans="1:28" ht="12.75" customHeight="1">
      <c r="A891" s="48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  <c r="AB891" s="48"/>
    </row>
    <row r="892" spans="1:28" ht="12.75" customHeight="1">
      <c r="A892" s="48"/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  <c r="AB892" s="48"/>
    </row>
    <row r="893" spans="1:28" ht="12.75" customHeight="1">
      <c r="A893" s="48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  <c r="AB893" s="48"/>
    </row>
    <row r="894" spans="1:28" ht="12.75" customHeight="1">
      <c r="A894" s="48"/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  <c r="AB894" s="48"/>
    </row>
    <row r="895" spans="1:28" ht="12.75" customHeight="1">
      <c r="A895" s="48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  <c r="AB895" s="48"/>
    </row>
    <row r="896" spans="1:28" ht="12.75" customHeight="1">
      <c r="A896" s="48"/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  <c r="AB896" s="48"/>
    </row>
    <row r="897" spans="1:28" ht="12.75" customHeight="1">
      <c r="A897" s="48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  <c r="AB897" s="48"/>
    </row>
    <row r="898" spans="1:28" ht="12.75" customHeight="1">
      <c r="A898" s="48"/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  <c r="AB898" s="48"/>
    </row>
    <row r="899" spans="1:28" ht="12.75" customHeight="1">
      <c r="A899" s="48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  <c r="AB899" s="48"/>
    </row>
    <row r="900" spans="1:28" ht="12.75" customHeight="1">
      <c r="A900" s="48"/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  <c r="AB900" s="48"/>
    </row>
    <row r="901" spans="1:28" ht="12.75" customHeight="1">
      <c r="A901" s="48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  <c r="AB901" s="48"/>
    </row>
    <row r="902" spans="1:28" ht="12.75" customHeight="1">
      <c r="A902" s="48"/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  <c r="AB902" s="48"/>
    </row>
    <row r="903" spans="1:28" ht="12.75" customHeight="1">
      <c r="A903" s="48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  <c r="AB903" s="48"/>
    </row>
    <row r="904" spans="1:28" ht="12.75" customHeight="1">
      <c r="A904" s="48"/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  <c r="AB904" s="48"/>
    </row>
    <row r="905" spans="1:28" ht="12.75" customHeight="1">
      <c r="A905" s="48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  <c r="AB905" s="48"/>
    </row>
    <row r="906" spans="1:28" ht="12.75" customHeight="1">
      <c r="A906" s="48"/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  <c r="AB906" s="48"/>
    </row>
    <row r="907" spans="1:28" ht="12.75" customHeight="1">
      <c r="A907" s="48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  <c r="AB907" s="48"/>
    </row>
    <row r="908" spans="1:28" ht="12.75" customHeight="1">
      <c r="A908" s="48"/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  <c r="AB908" s="48"/>
    </row>
    <row r="909" spans="1:28" ht="12.75" customHeight="1">
      <c r="A909" s="48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  <c r="AB909" s="48"/>
    </row>
    <row r="910" spans="1:28" ht="12.75" customHeight="1">
      <c r="A910" s="48"/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  <c r="AB910" s="48"/>
    </row>
    <row r="911" spans="1:28" ht="12.75" customHeight="1">
      <c r="A911" s="48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  <c r="AB911" s="48"/>
    </row>
    <row r="912" spans="1:28" ht="12.75" customHeight="1">
      <c r="A912" s="48"/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  <c r="AB912" s="48"/>
    </row>
    <row r="913" spans="1:28" ht="12.75" customHeight="1">
      <c r="A913" s="48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  <c r="AB913" s="48"/>
    </row>
    <row r="914" spans="1:28" ht="12.75" customHeight="1">
      <c r="A914" s="48"/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  <c r="AB914" s="48"/>
    </row>
    <row r="915" spans="1:28" ht="12.75" customHeight="1">
      <c r="A915" s="48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  <c r="AB915" s="48"/>
    </row>
    <row r="916" spans="1:28" ht="12.75" customHeight="1">
      <c r="A916" s="48"/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  <c r="AB916" s="48"/>
    </row>
    <row r="917" spans="1:28" ht="12.75" customHeight="1">
      <c r="A917" s="48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  <c r="AB917" s="48"/>
    </row>
    <row r="918" spans="1:28" ht="12.75" customHeight="1">
      <c r="A918" s="48"/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  <c r="AB918" s="48"/>
    </row>
    <row r="919" spans="1:28" ht="12.75" customHeight="1">
      <c r="A919" s="48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  <c r="AB919" s="48"/>
    </row>
    <row r="920" spans="1:28" ht="12.75" customHeight="1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  <c r="AB920" s="48"/>
    </row>
    <row r="921" spans="1:28" ht="12.75" customHeight="1">
      <c r="A921" s="48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  <c r="AB921" s="48"/>
    </row>
    <row r="922" spans="1:28" ht="12.75" customHeight="1">
      <c r="A922" s="48"/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  <c r="AB922" s="48"/>
    </row>
    <row r="923" spans="1:28" ht="12.75" customHeight="1">
      <c r="A923" s="48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  <c r="AB923" s="48"/>
    </row>
    <row r="924" spans="1:28" ht="12.75" customHeight="1">
      <c r="A924" s="48"/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  <c r="AB924" s="48"/>
    </row>
    <row r="925" spans="1:28" ht="12.75" customHeight="1">
      <c r="A925" s="48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  <c r="AB925" s="48"/>
    </row>
    <row r="926" spans="1:28" ht="12.75" customHeight="1">
      <c r="A926" s="48"/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  <c r="AB926" s="48"/>
    </row>
    <row r="927" spans="1:28" ht="12.75" customHeight="1">
      <c r="A927" s="48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  <c r="AB927" s="48"/>
    </row>
    <row r="928" spans="1:28" ht="12.75" customHeight="1">
      <c r="A928" s="48"/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  <c r="AB928" s="48"/>
    </row>
    <row r="929" spans="1:28" ht="12.75" customHeight="1">
      <c r="A929" s="48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  <c r="AB929" s="48"/>
    </row>
    <row r="930" spans="1:28" ht="12.75" customHeight="1">
      <c r="A930" s="48"/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  <c r="AB930" s="48"/>
    </row>
    <row r="931" spans="1:28" ht="12.75" customHeight="1">
      <c r="A931" s="48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  <c r="AB931" s="48"/>
    </row>
    <row r="932" spans="1:28" ht="12.75" customHeight="1">
      <c r="A932" s="48"/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  <c r="AB932" s="48"/>
    </row>
    <row r="933" spans="1:28" ht="12.75" customHeight="1">
      <c r="A933" s="48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  <c r="AB933" s="48"/>
    </row>
    <row r="934" spans="1:28" ht="12.75" customHeight="1">
      <c r="A934" s="48"/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  <c r="AB934" s="48"/>
    </row>
    <row r="935" spans="1:28" ht="12.75" customHeight="1">
      <c r="A935" s="48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  <c r="AB935" s="48"/>
    </row>
    <row r="936" spans="1:28" ht="12.75" customHeight="1">
      <c r="A936" s="48"/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  <c r="AB936" s="48"/>
    </row>
    <row r="937" spans="1:28" ht="12.75" customHeight="1">
      <c r="A937" s="48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  <c r="AB937" s="48"/>
    </row>
    <row r="938" spans="1:28" ht="12.75" customHeight="1">
      <c r="A938" s="48"/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  <c r="AB938" s="48"/>
    </row>
    <row r="939" spans="1:28" ht="12.75" customHeight="1">
      <c r="A939" s="48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  <c r="AB939" s="48"/>
    </row>
    <row r="940" spans="1:28" ht="12.75" customHeight="1">
      <c r="A940" s="48"/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  <c r="AB940" s="48"/>
    </row>
    <row r="941" spans="1:28" ht="12.75" customHeight="1">
      <c r="A941" s="48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  <c r="AB941" s="48"/>
    </row>
    <row r="942" spans="1:28" ht="12.75" customHeight="1">
      <c r="A942" s="48"/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  <c r="AB942" s="48"/>
    </row>
    <row r="943" spans="1:28" ht="12.75" customHeight="1">
      <c r="A943" s="48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  <c r="AB943" s="48"/>
    </row>
    <row r="944" spans="1:28" ht="12.75" customHeight="1">
      <c r="A944" s="48"/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  <c r="AB944" s="48"/>
    </row>
    <row r="945" spans="1:28" ht="12.75" customHeight="1">
      <c r="A945" s="48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  <c r="AB945" s="48"/>
    </row>
    <row r="946" spans="1:28" ht="12.75" customHeight="1">
      <c r="A946" s="48"/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  <c r="AB946" s="48"/>
    </row>
    <row r="947" spans="1:28" ht="12.75" customHeight="1">
      <c r="A947" s="48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  <c r="AB947" s="48"/>
    </row>
    <row r="948" spans="1:28" ht="12.75" customHeight="1">
      <c r="A948" s="48"/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  <c r="AB948" s="48"/>
    </row>
    <row r="949" spans="1:28" ht="12.75" customHeight="1">
      <c r="A949" s="48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  <c r="AB949" s="48"/>
    </row>
    <row r="950" spans="1:28" ht="12.75" customHeight="1">
      <c r="A950" s="48"/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  <c r="AB950" s="48"/>
    </row>
    <row r="951" spans="1:28" ht="12.75" customHeight="1">
      <c r="A951" s="48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  <c r="AB951" s="48"/>
    </row>
    <row r="952" spans="1:28" ht="12.75" customHeight="1">
      <c r="A952" s="48"/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  <c r="AB952" s="48"/>
    </row>
    <row r="953" spans="1:28" ht="12.75" customHeight="1">
      <c r="A953" s="48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  <c r="AB953" s="48"/>
    </row>
    <row r="954" spans="1:28" ht="12.75" customHeight="1">
      <c r="A954" s="48"/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  <c r="AB954" s="48"/>
    </row>
    <row r="955" spans="1:28" ht="12.75" customHeight="1">
      <c r="A955" s="48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  <c r="AB955" s="48"/>
    </row>
    <row r="956" spans="1:28" ht="12.75" customHeight="1">
      <c r="A956" s="48"/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  <c r="AB956" s="48"/>
    </row>
    <row r="957" spans="1:28" ht="12.75" customHeight="1">
      <c r="A957" s="48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  <c r="AB957" s="48"/>
    </row>
    <row r="958" spans="1:28" ht="12.75" customHeight="1">
      <c r="A958" s="48"/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  <c r="AB958" s="48"/>
    </row>
    <row r="959" spans="1:28" ht="12.75" customHeight="1">
      <c r="A959" s="48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  <c r="AB959" s="48"/>
    </row>
    <row r="960" spans="1:28" ht="12.75" customHeight="1">
      <c r="A960" s="48"/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  <c r="AB960" s="48"/>
    </row>
    <row r="961" spans="1:28" ht="12.75" customHeight="1">
      <c r="A961" s="48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  <c r="AB961" s="48"/>
    </row>
    <row r="962" spans="1:28" ht="12.75" customHeight="1">
      <c r="A962" s="48"/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  <c r="AB962" s="48"/>
    </row>
    <row r="963" spans="1:28" ht="12.75" customHeight="1">
      <c r="A963" s="48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  <c r="AB963" s="48"/>
    </row>
    <row r="964" spans="1:28" ht="12.75" customHeight="1">
      <c r="A964" s="48"/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  <c r="AB964" s="48"/>
    </row>
    <row r="965" spans="1:28" ht="12.75" customHeight="1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  <c r="AB965" s="48"/>
    </row>
    <row r="966" spans="1:28" ht="12.75" customHeight="1">
      <c r="A966" s="48"/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  <c r="AB966" s="48"/>
    </row>
    <row r="967" spans="1:28" ht="12.75" customHeight="1">
      <c r="A967" s="48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  <c r="AB967" s="48"/>
    </row>
    <row r="968" spans="1:28" ht="12.75" customHeight="1">
      <c r="A968" s="48"/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  <c r="AB968" s="48"/>
    </row>
    <row r="969" spans="1:28" ht="12.75" customHeight="1">
      <c r="A969" s="48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  <c r="AB969" s="48"/>
    </row>
    <row r="970" spans="1:28" ht="12.75" customHeight="1">
      <c r="A970" s="48"/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  <c r="AB970" s="48"/>
    </row>
    <row r="971" spans="1:28" ht="12.75" customHeight="1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  <c r="AB971" s="48"/>
    </row>
    <row r="972" spans="1:28" ht="12.75" customHeight="1">
      <c r="A972" s="48"/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  <c r="AB972" s="48"/>
    </row>
    <row r="973" spans="1:28" ht="12.75" customHeight="1">
      <c r="A973" s="48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  <c r="AB973" s="48"/>
    </row>
    <row r="974" spans="1:28" ht="12.75" customHeight="1">
      <c r="A974" s="48"/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  <c r="AB974" s="48"/>
    </row>
    <row r="975" spans="1:28" ht="12.75" customHeight="1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  <c r="AB975" s="48"/>
    </row>
    <row r="976" spans="1:28" ht="12.75" customHeight="1">
      <c r="A976" s="48"/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  <c r="AB976" s="48"/>
    </row>
    <row r="977" spans="1:28" ht="12.75" customHeight="1">
      <c r="A977" s="48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  <c r="AB977" s="48"/>
    </row>
    <row r="978" spans="1:28" ht="12.75" customHeight="1">
      <c r="A978" s="48"/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  <c r="AB978" s="48"/>
    </row>
    <row r="979" spans="1:28" ht="12.75" customHeight="1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  <c r="AB979" s="48"/>
    </row>
    <row r="980" spans="1:28" ht="12.75" customHeight="1">
      <c r="A980" s="48"/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  <c r="AB980" s="48"/>
    </row>
    <row r="981" spans="1:28" ht="12.75" customHeight="1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  <c r="AB981" s="48"/>
    </row>
    <row r="982" spans="1:28" ht="12.75" customHeight="1">
      <c r="A982" s="48"/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  <c r="AB982" s="48"/>
    </row>
    <row r="983" spans="1:28" ht="12.75" customHeight="1">
      <c r="A983" s="48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  <c r="AB983" s="48"/>
    </row>
    <row r="984" spans="1:28" ht="12.75" customHeight="1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  <c r="AB984" s="48"/>
    </row>
    <row r="985" spans="1:28" ht="12.75" customHeight="1">
      <c r="A985" s="48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  <c r="AB985" s="48"/>
    </row>
    <row r="986" spans="1:28" ht="12.75" customHeight="1">
      <c r="A986" s="48"/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  <c r="AB986" s="48"/>
    </row>
    <row r="987" spans="1:28" ht="12.75" customHeight="1">
      <c r="A987" s="48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  <c r="AB987" s="48"/>
    </row>
    <row r="988" spans="1:28" ht="12.75" customHeight="1">
      <c r="A988" s="48"/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  <c r="AB988" s="48"/>
    </row>
    <row r="989" spans="1:28" ht="12.75" customHeight="1">
      <c r="A989" s="48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  <c r="AB989" s="48"/>
    </row>
    <row r="990" spans="1:28" ht="12.75" customHeight="1">
      <c r="A990" s="48"/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  <c r="AB990" s="48"/>
    </row>
    <row r="991" spans="1:28" ht="12.75" customHeight="1">
      <c r="A991" s="48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  <c r="AB991" s="48"/>
    </row>
    <row r="992" spans="1:28" ht="12.75" customHeight="1">
      <c r="A992" s="48"/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  <c r="AB992" s="48"/>
    </row>
    <row r="993" spans="1:28" ht="12.75" customHeight="1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  <c r="AB993" s="48"/>
    </row>
    <row r="994" spans="1:28" ht="12.75" customHeight="1">
      <c r="A994" s="48"/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  <c r="AB994" s="48"/>
    </row>
    <row r="995" spans="1:28" ht="12.75" customHeight="1">
      <c r="A995" s="48"/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  <c r="AB995" s="48"/>
    </row>
    <row r="996" spans="1:28" ht="12.75" customHeight="1">
      <c r="A996" s="48"/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  <c r="AB996" s="48"/>
    </row>
    <row r="997" spans="1:28" ht="12.75" customHeight="1">
      <c r="A997" s="48"/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  <c r="AB997" s="48"/>
    </row>
    <row r="998" spans="1:28" ht="12.75" customHeight="1">
      <c r="A998" s="48"/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  <c r="AB998" s="48"/>
    </row>
    <row r="999" spans="1:28" ht="12.75" customHeight="1">
      <c r="A999" s="48"/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  <c r="AB999" s="48"/>
    </row>
    <row r="1000" spans="1:28" ht="12.75" customHeight="1">
      <c r="A1000" s="48"/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  <c r="AB1000" s="48"/>
    </row>
  </sheetData>
  <mergeCells count="4">
    <mergeCell ref="A9:A10"/>
    <mergeCell ref="B9:H10"/>
    <mergeCell ref="A17:A18"/>
    <mergeCell ref="B17:H18"/>
  </mergeCells>
  <pageMargins left="0.511811024" right="0.511811024" top="0.78740157499999996" bottom="0.78740157499999996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B1000"/>
  <sheetViews>
    <sheetView tabSelected="1" workbookViewId="0">
      <pane ySplit="8" topLeftCell="A9" activePane="bottomLeft" state="frozen"/>
      <selection pane="bottomLeft" activeCell="B16" sqref="B16"/>
    </sheetView>
  </sheetViews>
  <sheetFormatPr defaultColWidth="14.44140625" defaultRowHeight="15" customHeight="1"/>
  <cols>
    <col min="1" max="1" width="19.88671875" customWidth="1"/>
    <col min="2" max="4" width="10.6640625" customWidth="1"/>
    <col min="5" max="5" width="40.6640625" customWidth="1"/>
    <col min="6" max="6" width="14" customWidth="1"/>
    <col min="7" max="7" width="10.6640625" customWidth="1"/>
    <col min="8" max="8" width="26.5546875" customWidth="1"/>
    <col min="9" max="9" width="0.5546875" customWidth="1"/>
    <col min="10" max="28" width="9.109375" hidden="1" customWidth="1"/>
  </cols>
  <sheetData>
    <row r="1" spans="1:28" ht="3.75" customHeight="1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</row>
    <row r="2" spans="1:28" ht="12.75" customHeight="1">
      <c r="A2" s="1"/>
      <c r="B2" s="1"/>
      <c r="C2" s="1"/>
      <c r="D2" s="1"/>
      <c r="E2" s="1"/>
      <c r="F2" s="1"/>
      <c r="G2" s="7"/>
      <c r="H2" s="1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</row>
    <row r="3" spans="1:28" ht="12.75" customHeight="1">
      <c r="A3" s="1"/>
      <c r="B3" s="3"/>
      <c r="C3" s="2" t="s">
        <v>0</v>
      </c>
      <c r="D3" s="49" t="s">
        <v>518</v>
      </c>
      <c r="E3" s="50"/>
      <c r="F3" s="5"/>
      <c r="G3" s="1"/>
      <c r="H3" s="1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</row>
    <row r="4" spans="1:28" ht="12.75" customHeight="1">
      <c r="A4" s="51" t="str">
        <f>Exportacao!A4</f>
        <v>Sigla</v>
      </c>
      <c r="B4" s="52" t="str">
        <f>Exportacao!B4</f>
        <v>País</v>
      </c>
      <c r="C4" s="52" t="str">
        <f>Exportacao!C4</f>
        <v xml:space="preserve">Zona </v>
      </c>
      <c r="D4" s="52" t="str">
        <f>Exportacao!D4</f>
        <v>Peso</v>
      </c>
      <c r="E4" s="52" t="str">
        <f>Exportacao!E4</f>
        <v>Documentos/ Mercadoria</v>
      </c>
      <c r="F4" s="52" t="str">
        <f>Exportacao!F4</f>
        <v>Valor</v>
      </c>
      <c r="G4" s="52"/>
      <c r="H4" s="54" t="str">
        <f>Exportacao!H4</f>
        <v>IMPORTAÇÃO</v>
      </c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</row>
    <row r="5" spans="1:28" ht="12.75" customHeight="1">
      <c r="A5" s="87" t="str">
        <f>Exportacao!A5</f>
        <v>CL</v>
      </c>
      <c r="B5" s="88" t="str">
        <f>Exportacao!B5</f>
        <v>Chile</v>
      </c>
      <c r="C5" s="88" t="str">
        <f>Exportacao!C5</f>
        <v>Zona 1</v>
      </c>
      <c r="D5" s="88">
        <f>Exportacao!D5</f>
        <v>3</v>
      </c>
      <c r="E5" s="88" t="str">
        <f>Exportacao!E5</f>
        <v>Documentos</v>
      </c>
      <c r="F5" s="89" t="str">
        <f>Exportacao!F5</f>
        <v>Verifique os campos</v>
      </c>
      <c r="G5" s="88"/>
      <c r="H5" s="90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</row>
    <row r="6" spans="1:28" ht="12.75" customHeight="1">
      <c r="A6" s="8" t="s">
        <v>519</v>
      </c>
      <c r="B6" s="9"/>
      <c r="C6" s="10"/>
      <c r="D6" s="9"/>
      <c r="E6" s="9"/>
      <c r="F6" s="9"/>
      <c r="G6" s="9"/>
      <c r="H6" s="11" t="s">
        <v>3</v>
      </c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</row>
    <row r="7" spans="1:28" ht="12.75" customHeight="1">
      <c r="A7" s="48"/>
      <c r="B7" s="48"/>
      <c r="C7" s="48"/>
      <c r="D7" s="48"/>
      <c r="E7" s="48"/>
      <c r="F7" s="48"/>
      <c r="G7" s="48"/>
      <c r="H7" s="48"/>
      <c r="I7" s="91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</row>
    <row r="8" spans="1:28" ht="12.75" customHeight="1">
      <c r="A8" s="58" t="s">
        <v>504</v>
      </c>
      <c r="B8" s="59" t="s">
        <v>505</v>
      </c>
      <c r="C8" s="59" t="s">
        <v>506</v>
      </c>
      <c r="D8" s="59" t="s">
        <v>507</v>
      </c>
      <c r="E8" s="59" t="s">
        <v>508</v>
      </c>
      <c r="F8" s="59" t="s">
        <v>509</v>
      </c>
      <c r="G8" s="59" t="s">
        <v>510</v>
      </c>
      <c r="H8" s="60" t="s">
        <v>511</v>
      </c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</row>
    <row r="9" spans="1:28" ht="12.75" customHeight="1">
      <c r="A9" s="61"/>
      <c r="B9" s="61"/>
      <c r="C9" s="61"/>
      <c r="D9" s="61"/>
      <c r="E9" s="61"/>
      <c r="F9" s="61"/>
      <c r="G9" s="61"/>
      <c r="H9" s="61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</row>
    <row r="10" spans="1:28" ht="12.75" customHeight="1">
      <c r="A10" s="113" t="s">
        <v>8</v>
      </c>
      <c r="B10" s="115" t="s">
        <v>512</v>
      </c>
      <c r="C10" s="116"/>
      <c r="D10" s="116"/>
      <c r="E10" s="116"/>
      <c r="F10" s="116"/>
      <c r="G10" s="116"/>
      <c r="H10" s="117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</row>
    <row r="11" spans="1:28" ht="12.75" customHeight="1">
      <c r="A11" s="114"/>
      <c r="B11" s="118"/>
      <c r="C11" s="119"/>
      <c r="D11" s="119"/>
      <c r="E11" s="119"/>
      <c r="F11" s="119"/>
      <c r="G11" s="119"/>
      <c r="H11" s="120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</row>
    <row r="12" spans="1:28" ht="12.75" customHeight="1">
      <c r="A12" s="58" t="s">
        <v>504</v>
      </c>
      <c r="B12" s="59" t="s">
        <v>505</v>
      </c>
      <c r="C12" s="59" t="s">
        <v>506</v>
      </c>
      <c r="D12" s="59" t="s">
        <v>507</v>
      </c>
      <c r="E12" s="59" t="s">
        <v>508</v>
      </c>
      <c r="F12" s="59" t="s">
        <v>509</v>
      </c>
      <c r="G12" s="59" t="s">
        <v>510</v>
      </c>
      <c r="H12" s="60" t="s">
        <v>511</v>
      </c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</row>
    <row r="13" spans="1:28" ht="12.75" customHeight="1">
      <c r="A13" s="62">
        <v>0.5</v>
      </c>
      <c r="B13" s="63">
        <v>156.83000000000001</v>
      </c>
      <c r="C13" s="63">
        <v>232.33</v>
      </c>
      <c r="D13" s="63">
        <v>216.91</v>
      </c>
      <c r="E13" s="63">
        <v>253.05</v>
      </c>
      <c r="F13" s="63">
        <v>174.05</v>
      </c>
      <c r="G13" s="63">
        <v>258.94</v>
      </c>
      <c r="H13" s="64">
        <v>397.7</v>
      </c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</row>
    <row r="14" spans="1:28" ht="12.75" customHeight="1">
      <c r="A14" s="65">
        <v>1</v>
      </c>
      <c r="B14" s="66">
        <v>178.23</v>
      </c>
      <c r="C14" s="66">
        <v>273.24</v>
      </c>
      <c r="D14" s="66">
        <v>243.83</v>
      </c>
      <c r="E14" s="66">
        <v>283.31</v>
      </c>
      <c r="F14" s="66">
        <v>214.78</v>
      </c>
      <c r="G14" s="66">
        <v>301.37</v>
      </c>
      <c r="H14" s="67">
        <v>461.99</v>
      </c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</row>
    <row r="15" spans="1:28" ht="12.75" customHeight="1">
      <c r="A15" s="68">
        <v>1.5</v>
      </c>
      <c r="B15" s="69">
        <v>199.65</v>
      </c>
      <c r="C15" s="69">
        <v>313.98</v>
      </c>
      <c r="D15" s="69">
        <v>270.72000000000003</v>
      </c>
      <c r="E15" s="69">
        <v>313.55</v>
      </c>
      <c r="F15" s="69">
        <v>255.51</v>
      </c>
      <c r="G15" s="69">
        <v>343.81</v>
      </c>
      <c r="H15" s="70">
        <v>526.28</v>
      </c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</row>
    <row r="16" spans="1:28" ht="12.75" customHeight="1">
      <c r="A16" s="65">
        <v>2</v>
      </c>
      <c r="B16" s="66">
        <v>221.07</v>
      </c>
      <c r="C16" s="66">
        <v>354.71</v>
      </c>
      <c r="D16" s="66">
        <v>297.62</v>
      </c>
      <c r="E16" s="66">
        <v>343.79</v>
      </c>
      <c r="F16" s="66">
        <v>296.25</v>
      </c>
      <c r="G16" s="66">
        <v>386.24</v>
      </c>
      <c r="H16" s="67">
        <v>590.55999999999995</v>
      </c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</row>
    <row r="17" spans="1:28" ht="12.75" customHeight="1">
      <c r="A17" s="68">
        <v>2.5</v>
      </c>
      <c r="B17" s="69">
        <v>242.47</v>
      </c>
      <c r="C17" s="69">
        <v>395.63</v>
      </c>
      <c r="D17" s="69">
        <v>324.54000000000002</v>
      </c>
      <c r="E17" s="69">
        <v>374.02</v>
      </c>
      <c r="F17" s="69">
        <v>337</v>
      </c>
      <c r="G17" s="69">
        <v>428.68</v>
      </c>
      <c r="H17" s="70">
        <v>654.83000000000004</v>
      </c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</row>
    <row r="18" spans="1:28" ht="12.75" customHeight="1">
      <c r="A18" s="121" t="s">
        <v>8</v>
      </c>
      <c r="B18" s="122" t="s">
        <v>12</v>
      </c>
      <c r="C18" s="123"/>
      <c r="D18" s="123"/>
      <c r="E18" s="123"/>
      <c r="F18" s="123"/>
      <c r="G18" s="123"/>
      <c r="H18" s="124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</row>
    <row r="19" spans="1:28" ht="12.75" customHeight="1">
      <c r="A19" s="114"/>
      <c r="B19" s="118"/>
      <c r="C19" s="119"/>
      <c r="D19" s="119"/>
      <c r="E19" s="119"/>
      <c r="F19" s="119"/>
      <c r="G19" s="119"/>
      <c r="H19" s="120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</row>
    <row r="20" spans="1:28" ht="12.75" customHeight="1">
      <c r="A20" s="58" t="s">
        <v>504</v>
      </c>
      <c r="B20" s="59" t="s">
        <v>505</v>
      </c>
      <c r="C20" s="59" t="s">
        <v>506</v>
      </c>
      <c r="D20" s="59" t="s">
        <v>507</v>
      </c>
      <c r="E20" s="59" t="s">
        <v>508</v>
      </c>
      <c r="F20" s="59" t="s">
        <v>509</v>
      </c>
      <c r="G20" s="59" t="s">
        <v>510</v>
      </c>
      <c r="H20" s="60" t="s">
        <v>511</v>
      </c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</row>
    <row r="21" spans="1:28" ht="12.75" customHeight="1">
      <c r="A21" s="71">
        <v>0.5</v>
      </c>
      <c r="B21" s="72">
        <v>156.83000000000001</v>
      </c>
      <c r="C21" s="73">
        <v>232.33</v>
      </c>
      <c r="D21" s="73">
        <v>216.91</v>
      </c>
      <c r="E21" s="73">
        <v>253.05</v>
      </c>
      <c r="F21" s="73">
        <v>174.05</v>
      </c>
      <c r="G21" s="73">
        <v>258.94</v>
      </c>
      <c r="H21" s="74">
        <v>397.7</v>
      </c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</row>
    <row r="22" spans="1:28" ht="12.75" customHeight="1">
      <c r="A22" s="65">
        <v>1</v>
      </c>
      <c r="B22" s="75">
        <v>178.23</v>
      </c>
      <c r="C22" s="66">
        <v>273.24</v>
      </c>
      <c r="D22" s="66">
        <v>243.83</v>
      </c>
      <c r="E22" s="66">
        <v>283.31</v>
      </c>
      <c r="F22" s="66">
        <v>214.78</v>
      </c>
      <c r="G22" s="66">
        <v>301.37</v>
      </c>
      <c r="H22" s="67">
        <v>461.99</v>
      </c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</row>
    <row r="23" spans="1:28" ht="12.75" customHeight="1">
      <c r="A23" s="71">
        <v>1.5</v>
      </c>
      <c r="B23" s="72">
        <v>199.65</v>
      </c>
      <c r="C23" s="73">
        <v>313.98</v>
      </c>
      <c r="D23" s="73">
        <v>270.72000000000003</v>
      </c>
      <c r="E23" s="73">
        <v>313.55</v>
      </c>
      <c r="F23" s="73">
        <v>255.51</v>
      </c>
      <c r="G23" s="73">
        <v>343.81</v>
      </c>
      <c r="H23" s="74">
        <v>526.28</v>
      </c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</row>
    <row r="24" spans="1:28" ht="12.75" customHeight="1">
      <c r="A24" s="65">
        <v>2</v>
      </c>
      <c r="B24" s="75">
        <v>221.07</v>
      </c>
      <c r="C24" s="66">
        <v>354.71</v>
      </c>
      <c r="D24" s="66">
        <v>297.62</v>
      </c>
      <c r="E24" s="66">
        <v>343.79</v>
      </c>
      <c r="F24" s="66">
        <v>296.25</v>
      </c>
      <c r="G24" s="66">
        <v>386.24</v>
      </c>
      <c r="H24" s="67">
        <v>590.55999999999995</v>
      </c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</row>
    <row r="25" spans="1:28" ht="12.75" customHeight="1">
      <c r="A25" s="71">
        <v>2.5</v>
      </c>
      <c r="B25" s="72">
        <v>242.47</v>
      </c>
      <c r="C25" s="73">
        <v>395.63</v>
      </c>
      <c r="D25" s="73">
        <v>324.54000000000002</v>
      </c>
      <c r="E25" s="73">
        <v>374.02</v>
      </c>
      <c r="F25" s="73">
        <v>337</v>
      </c>
      <c r="G25" s="73">
        <v>428.68</v>
      </c>
      <c r="H25" s="74">
        <v>654.83000000000004</v>
      </c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</row>
    <row r="26" spans="1:28" ht="12.75" customHeight="1">
      <c r="A26" s="65">
        <v>3</v>
      </c>
      <c r="B26" s="75">
        <v>263.88</v>
      </c>
      <c r="C26" s="66">
        <v>434.72</v>
      </c>
      <c r="D26" s="66">
        <v>351.43</v>
      </c>
      <c r="E26" s="66">
        <v>404.26</v>
      </c>
      <c r="F26" s="66">
        <v>377.73</v>
      </c>
      <c r="G26" s="66">
        <v>471.11</v>
      </c>
      <c r="H26" s="67">
        <v>719.12</v>
      </c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</row>
    <row r="27" spans="1:28" ht="12.75" customHeight="1">
      <c r="A27" s="71">
        <v>3.5</v>
      </c>
      <c r="B27" s="72">
        <v>285.27999999999997</v>
      </c>
      <c r="C27" s="73">
        <v>473.82</v>
      </c>
      <c r="D27" s="73">
        <v>378.33</v>
      </c>
      <c r="E27" s="73">
        <v>434.5</v>
      </c>
      <c r="F27" s="73">
        <v>418.47</v>
      </c>
      <c r="G27" s="73">
        <v>513.54999999999995</v>
      </c>
      <c r="H27" s="74">
        <v>783.41</v>
      </c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</row>
    <row r="28" spans="1:28" ht="12.75" customHeight="1">
      <c r="A28" s="65">
        <v>4</v>
      </c>
      <c r="B28" s="75">
        <v>306.68</v>
      </c>
      <c r="C28" s="66">
        <v>512.91</v>
      </c>
      <c r="D28" s="66">
        <v>405.22</v>
      </c>
      <c r="E28" s="66">
        <v>464.74</v>
      </c>
      <c r="F28" s="66">
        <v>459.2</v>
      </c>
      <c r="G28" s="66">
        <v>555.98</v>
      </c>
      <c r="H28" s="67">
        <v>847.7</v>
      </c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</row>
    <row r="29" spans="1:28" ht="12.75" customHeight="1">
      <c r="A29" s="71">
        <v>4.5</v>
      </c>
      <c r="B29" s="72">
        <v>328.08</v>
      </c>
      <c r="C29" s="73">
        <v>552</v>
      </c>
      <c r="D29" s="73">
        <v>432.12</v>
      </c>
      <c r="E29" s="73">
        <v>494.97</v>
      </c>
      <c r="F29" s="73">
        <v>499.93</v>
      </c>
      <c r="G29" s="73">
        <v>598.41999999999996</v>
      </c>
      <c r="H29" s="74">
        <v>911.98</v>
      </c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</row>
    <row r="30" spans="1:28" ht="12.75" customHeight="1">
      <c r="A30" s="65">
        <v>5</v>
      </c>
      <c r="B30" s="75">
        <v>349.48</v>
      </c>
      <c r="C30" s="66">
        <v>591.1</v>
      </c>
      <c r="D30" s="66">
        <v>459.02</v>
      </c>
      <c r="E30" s="66">
        <v>525.21</v>
      </c>
      <c r="F30" s="66">
        <v>540.66999999999996</v>
      </c>
      <c r="G30" s="66">
        <v>640.85</v>
      </c>
      <c r="H30" s="67">
        <v>976.27</v>
      </c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</row>
    <row r="31" spans="1:28" ht="12.75" customHeight="1">
      <c r="A31" s="71">
        <v>5.5</v>
      </c>
      <c r="B31" s="72">
        <v>370.89</v>
      </c>
      <c r="C31" s="73">
        <v>625.27</v>
      </c>
      <c r="D31" s="73">
        <v>485.91</v>
      </c>
      <c r="E31" s="73">
        <v>555.45000000000005</v>
      </c>
      <c r="F31" s="73">
        <v>580.99</v>
      </c>
      <c r="G31" s="73">
        <v>683.29</v>
      </c>
      <c r="H31" s="74">
        <v>1040.56</v>
      </c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</row>
    <row r="32" spans="1:28" ht="12.75" customHeight="1">
      <c r="A32" s="65">
        <v>6</v>
      </c>
      <c r="B32" s="75">
        <v>392.29</v>
      </c>
      <c r="C32" s="66">
        <v>659.44</v>
      </c>
      <c r="D32" s="66">
        <v>512.80999999999995</v>
      </c>
      <c r="E32" s="66">
        <v>585.69000000000005</v>
      </c>
      <c r="F32" s="66">
        <v>621.30999999999995</v>
      </c>
      <c r="G32" s="66">
        <v>725.72</v>
      </c>
      <c r="H32" s="67">
        <v>1104.8499999999999</v>
      </c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</row>
    <row r="33" spans="1:28" ht="12.75" customHeight="1">
      <c r="A33" s="71">
        <v>6.5</v>
      </c>
      <c r="B33" s="72">
        <v>413.69</v>
      </c>
      <c r="C33" s="73">
        <v>693.62</v>
      </c>
      <c r="D33" s="73">
        <v>539.70000000000005</v>
      </c>
      <c r="E33" s="73">
        <v>615.91999999999996</v>
      </c>
      <c r="F33" s="73">
        <v>661.64</v>
      </c>
      <c r="G33" s="73">
        <v>768.16</v>
      </c>
      <c r="H33" s="74">
        <v>1169.1400000000001</v>
      </c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</row>
    <row r="34" spans="1:28" ht="12.75" customHeight="1">
      <c r="A34" s="65">
        <v>7</v>
      </c>
      <c r="B34" s="75">
        <v>435.09</v>
      </c>
      <c r="C34" s="66">
        <v>727.79</v>
      </c>
      <c r="D34" s="66">
        <v>566.6</v>
      </c>
      <c r="E34" s="66">
        <v>646.16</v>
      </c>
      <c r="F34" s="66">
        <v>701.96</v>
      </c>
      <c r="G34" s="66">
        <v>810.59</v>
      </c>
      <c r="H34" s="67">
        <v>1233.42</v>
      </c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</row>
    <row r="35" spans="1:28" ht="12.75" customHeight="1">
      <c r="A35" s="71">
        <v>7.5</v>
      </c>
      <c r="B35" s="72">
        <v>456.49</v>
      </c>
      <c r="C35" s="73">
        <v>761.96</v>
      </c>
      <c r="D35" s="73">
        <v>593.5</v>
      </c>
      <c r="E35" s="73">
        <v>676.4</v>
      </c>
      <c r="F35" s="73">
        <v>742.28</v>
      </c>
      <c r="G35" s="73">
        <v>853.03</v>
      </c>
      <c r="H35" s="74">
        <v>1297.71</v>
      </c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</row>
    <row r="36" spans="1:28" ht="12.75" customHeight="1">
      <c r="A36" s="65">
        <v>8</v>
      </c>
      <c r="B36" s="75">
        <v>477.9</v>
      </c>
      <c r="C36" s="66">
        <v>796.14</v>
      </c>
      <c r="D36" s="66">
        <v>620.39</v>
      </c>
      <c r="E36" s="66">
        <v>706.64</v>
      </c>
      <c r="F36" s="66">
        <v>782.61</v>
      </c>
      <c r="G36" s="66">
        <v>895.46</v>
      </c>
      <c r="H36" s="67">
        <v>1362</v>
      </c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</row>
    <row r="37" spans="1:28" ht="12.75" customHeight="1">
      <c r="A37" s="71">
        <v>8.5</v>
      </c>
      <c r="B37" s="72">
        <v>499.3</v>
      </c>
      <c r="C37" s="73">
        <v>830.31</v>
      </c>
      <c r="D37" s="73">
        <v>647.29</v>
      </c>
      <c r="E37" s="73">
        <v>736.87</v>
      </c>
      <c r="F37" s="73">
        <v>822.93</v>
      </c>
      <c r="G37" s="73">
        <v>937.9</v>
      </c>
      <c r="H37" s="74">
        <v>1426.29</v>
      </c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</row>
    <row r="38" spans="1:28" ht="12.75" customHeight="1">
      <c r="A38" s="65">
        <v>9</v>
      </c>
      <c r="B38" s="75">
        <v>520.70000000000005</v>
      </c>
      <c r="C38" s="66">
        <v>864.49</v>
      </c>
      <c r="D38" s="66">
        <v>674.18</v>
      </c>
      <c r="E38" s="66">
        <v>767.11</v>
      </c>
      <c r="F38" s="66">
        <v>863.26</v>
      </c>
      <c r="G38" s="66">
        <v>980.33</v>
      </c>
      <c r="H38" s="67">
        <v>1490.58</v>
      </c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</row>
    <row r="39" spans="1:28" ht="12.75" customHeight="1">
      <c r="A39" s="71">
        <v>9.5</v>
      </c>
      <c r="B39" s="72">
        <v>542.1</v>
      </c>
      <c r="C39" s="73">
        <v>898.66</v>
      </c>
      <c r="D39" s="73">
        <v>701.08</v>
      </c>
      <c r="E39" s="73">
        <v>797.35</v>
      </c>
      <c r="F39" s="73">
        <v>903.58</v>
      </c>
      <c r="G39" s="73">
        <v>1022.77</v>
      </c>
      <c r="H39" s="74">
        <v>1554.86</v>
      </c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</row>
    <row r="40" spans="1:28" ht="12.75" customHeight="1">
      <c r="A40" s="65">
        <v>10</v>
      </c>
      <c r="B40" s="75">
        <v>563.5</v>
      </c>
      <c r="C40" s="66">
        <v>932.83</v>
      </c>
      <c r="D40" s="66">
        <v>727.98</v>
      </c>
      <c r="E40" s="66">
        <v>827.59</v>
      </c>
      <c r="F40" s="66">
        <v>943.9</v>
      </c>
      <c r="G40" s="66">
        <v>1065.2</v>
      </c>
      <c r="H40" s="67">
        <v>1619.15</v>
      </c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</row>
    <row r="41" spans="1:28" ht="12.75" customHeight="1">
      <c r="A41" s="71">
        <v>10.5</v>
      </c>
      <c r="B41" s="72">
        <v>584.91</v>
      </c>
      <c r="C41" s="73">
        <v>967.03</v>
      </c>
      <c r="D41" s="73">
        <v>754.87</v>
      </c>
      <c r="E41" s="73">
        <v>857.82</v>
      </c>
      <c r="F41" s="73">
        <v>984.23</v>
      </c>
      <c r="G41" s="73">
        <v>1107.6400000000001</v>
      </c>
      <c r="H41" s="74">
        <v>1683.44</v>
      </c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</row>
    <row r="42" spans="1:28" ht="12.75" customHeight="1">
      <c r="A42" s="65">
        <v>11</v>
      </c>
      <c r="B42" s="75">
        <v>606.30999999999995</v>
      </c>
      <c r="C42" s="66">
        <v>1001.22</v>
      </c>
      <c r="D42" s="66">
        <v>781.77</v>
      </c>
      <c r="E42" s="66">
        <v>888.06</v>
      </c>
      <c r="F42" s="66">
        <v>1024.55</v>
      </c>
      <c r="G42" s="66">
        <v>1150.07</v>
      </c>
      <c r="H42" s="67">
        <v>1747.73</v>
      </c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</row>
    <row r="43" spans="1:28" ht="12.75" customHeight="1">
      <c r="A43" s="71">
        <v>11.5</v>
      </c>
      <c r="B43" s="72">
        <v>627.71</v>
      </c>
      <c r="C43" s="73">
        <v>1035.4100000000001</v>
      </c>
      <c r="D43" s="73">
        <v>808.66</v>
      </c>
      <c r="E43" s="73">
        <v>918.3</v>
      </c>
      <c r="F43" s="73">
        <v>1064.8699999999999</v>
      </c>
      <c r="G43" s="73">
        <v>1192.51</v>
      </c>
      <c r="H43" s="74">
        <v>1812.02</v>
      </c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</row>
    <row r="44" spans="1:28" ht="12.75" customHeight="1">
      <c r="A44" s="65">
        <v>12</v>
      </c>
      <c r="B44" s="75">
        <v>649.11</v>
      </c>
      <c r="C44" s="66">
        <v>1069.6099999999999</v>
      </c>
      <c r="D44" s="66">
        <v>835.56</v>
      </c>
      <c r="E44" s="66">
        <v>948.54</v>
      </c>
      <c r="F44" s="66">
        <v>1105.2</v>
      </c>
      <c r="G44" s="66">
        <v>1234.94</v>
      </c>
      <c r="H44" s="67">
        <v>1876.3</v>
      </c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</row>
    <row r="45" spans="1:28" ht="12.75" customHeight="1">
      <c r="A45" s="71">
        <v>12.5</v>
      </c>
      <c r="B45" s="72">
        <v>670.51</v>
      </c>
      <c r="C45" s="73">
        <v>1103.8</v>
      </c>
      <c r="D45" s="73">
        <v>862.46</v>
      </c>
      <c r="E45" s="73">
        <v>978.77</v>
      </c>
      <c r="F45" s="73">
        <v>1145.52</v>
      </c>
      <c r="G45" s="73">
        <v>1277.3800000000001</v>
      </c>
      <c r="H45" s="74">
        <v>1940.59</v>
      </c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</row>
    <row r="46" spans="1:28" ht="12.75" customHeight="1">
      <c r="A46" s="65">
        <v>13</v>
      </c>
      <c r="B46" s="75">
        <v>691.92</v>
      </c>
      <c r="C46" s="66">
        <v>1138</v>
      </c>
      <c r="D46" s="66">
        <v>889.35</v>
      </c>
      <c r="E46" s="66">
        <v>1009.01</v>
      </c>
      <c r="F46" s="66">
        <v>1185.8399999999999</v>
      </c>
      <c r="G46" s="66">
        <v>1319.81</v>
      </c>
      <c r="H46" s="67">
        <v>2004.88</v>
      </c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</row>
    <row r="47" spans="1:28" ht="12.75" customHeight="1">
      <c r="A47" s="71">
        <v>13.5</v>
      </c>
      <c r="B47" s="72">
        <v>713.32</v>
      </c>
      <c r="C47" s="73">
        <v>1172.19</v>
      </c>
      <c r="D47" s="73">
        <v>916.25</v>
      </c>
      <c r="E47" s="73">
        <v>1039.25</v>
      </c>
      <c r="F47" s="73">
        <v>1226.17</v>
      </c>
      <c r="G47" s="73">
        <v>1362.25</v>
      </c>
      <c r="H47" s="74">
        <v>2069.17</v>
      </c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</row>
    <row r="48" spans="1:28" ht="12.75" customHeight="1">
      <c r="A48" s="65">
        <v>14</v>
      </c>
      <c r="B48" s="75">
        <v>734.72</v>
      </c>
      <c r="C48" s="66">
        <v>1206.3800000000001</v>
      </c>
      <c r="D48" s="66">
        <v>943.14</v>
      </c>
      <c r="E48" s="66">
        <v>1069.49</v>
      </c>
      <c r="F48" s="66">
        <v>1266.49</v>
      </c>
      <c r="G48" s="66">
        <v>1404.68</v>
      </c>
      <c r="H48" s="67">
        <v>2133.46</v>
      </c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</row>
    <row r="49" spans="1:28" ht="12.75" customHeight="1">
      <c r="A49" s="71">
        <v>14.5</v>
      </c>
      <c r="B49" s="72">
        <v>756.12</v>
      </c>
      <c r="C49" s="73">
        <v>1240.58</v>
      </c>
      <c r="D49" s="73">
        <v>970.04</v>
      </c>
      <c r="E49" s="73">
        <v>1099.72</v>
      </c>
      <c r="F49" s="73">
        <v>1306.81</v>
      </c>
      <c r="G49" s="73">
        <v>1447.12</v>
      </c>
      <c r="H49" s="74">
        <v>2197.7399999999998</v>
      </c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28" ht="12.75" customHeight="1">
      <c r="A50" s="65">
        <v>15</v>
      </c>
      <c r="B50" s="75">
        <v>777.52</v>
      </c>
      <c r="C50" s="66">
        <v>1274.77</v>
      </c>
      <c r="D50" s="66">
        <v>996.94</v>
      </c>
      <c r="E50" s="66">
        <v>1129.96</v>
      </c>
      <c r="F50" s="66">
        <v>1347.14</v>
      </c>
      <c r="G50" s="66">
        <v>1489.55</v>
      </c>
      <c r="H50" s="67">
        <v>2262.0300000000002</v>
      </c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</row>
    <row r="51" spans="1:28" ht="12.75" customHeight="1">
      <c r="A51" s="71">
        <v>15.5</v>
      </c>
      <c r="B51" s="72">
        <v>798.93</v>
      </c>
      <c r="C51" s="73">
        <v>1308.97</v>
      </c>
      <c r="D51" s="73">
        <v>1023.83</v>
      </c>
      <c r="E51" s="73">
        <v>1160.2</v>
      </c>
      <c r="F51" s="73">
        <v>1387.46</v>
      </c>
      <c r="G51" s="73">
        <v>1531.99</v>
      </c>
      <c r="H51" s="74">
        <v>2326.3200000000002</v>
      </c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</row>
    <row r="52" spans="1:28" ht="12.75" customHeight="1">
      <c r="A52" s="65">
        <v>16</v>
      </c>
      <c r="B52" s="75">
        <v>820.33</v>
      </c>
      <c r="C52" s="66">
        <v>1343.16</v>
      </c>
      <c r="D52" s="66">
        <v>1050.73</v>
      </c>
      <c r="E52" s="66">
        <v>1190.44</v>
      </c>
      <c r="F52" s="66">
        <v>1427.78</v>
      </c>
      <c r="G52" s="66">
        <v>1574.42</v>
      </c>
      <c r="H52" s="67">
        <v>2390.61</v>
      </c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</row>
    <row r="53" spans="1:28" ht="12.75" customHeight="1">
      <c r="A53" s="71">
        <v>16.5</v>
      </c>
      <c r="B53" s="72">
        <v>841.73</v>
      </c>
      <c r="C53" s="73">
        <v>1377.35</v>
      </c>
      <c r="D53" s="73">
        <v>1077.6199999999999</v>
      </c>
      <c r="E53" s="73">
        <v>1220.67</v>
      </c>
      <c r="F53" s="73">
        <v>1468.11</v>
      </c>
      <c r="G53" s="73">
        <v>1616.86</v>
      </c>
      <c r="H53" s="74">
        <v>2454.9</v>
      </c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</row>
    <row r="54" spans="1:28" ht="12.75" customHeight="1">
      <c r="A54" s="65">
        <v>17</v>
      </c>
      <c r="B54" s="75">
        <v>863.13</v>
      </c>
      <c r="C54" s="66">
        <v>1411.55</v>
      </c>
      <c r="D54" s="66">
        <v>1104.52</v>
      </c>
      <c r="E54" s="66">
        <v>1250.9100000000001</v>
      </c>
      <c r="F54" s="66">
        <v>1508.43</v>
      </c>
      <c r="G54" s="66">
        <v>1659.29</v>
      </c>
      <c r="H54" s="67">
        <v>2519.1799999999998</v>
      </c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</row>
    <row r="55" spans="1:28" ht="12.75" customHeight="1">
      <c r="A55" s="71">
        <v>17.5</v>
      </c>
      <c r="B55" s="72">
        <v>884.53</v>
      </c>
      <c r="C55" s="73">
        <v>1445.74</v>
      </c>
      <c r="D55" s="73">
        <v>1131.42</v>
      </c>
      <c r="E55" s="73">
        <v>1281.1500000000001</v>
      </c>
      <c r="F55" s="73">
        <v>1548.75</v>
      </c>
      <c r="G55" s="73">
        <v>1701.73</v>
      </c>
      <c r="H55" s="74">
        <v>2583.4699999999998</v>
      </c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</row>
    <row r="56" spans="1:28" ht="12.75" customHeight="1">
      <c r="A56" s="65">
        <v>18</v>
      </c>
      <c r="B56" s="75">
        <v>905.94</v>
      </c>
      <c r="C56" s="66">
        <v>1479.94</v>
      </c>
      <c r="D56" s="66">
        <v>1158.31</v>
      </c>
      <c r="E56" s="66">
        <v>1311.39</v>
      </c>
      <c r="F56" s="66">
        <v>1589.08</v>
      </c>
      <c r="G56" s="66">
        <v>1744.16</v>
      </c>
      <c r="H56" s="67">
        <v>2647.76</v>
      </c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</row>
    <row r="57" spans="1:28" ht="12.75" customHeight="1">
      <c r="A57" s="71">
        <v>18.5</v>
      </c>
      <c r="B57" s="72">
        <v>927.34</v>
      </c>
      <c r="C57" s="73">
        <v>1514.13</v>
      </c>
      <c r="D57" s="73">
        <v>1185.21</v>
      </c>
      <c r="E57" s="73">
        <v>1341.62</v>
      </c>
      <c r="F57" s="73">
        <v>1629.4</v>
      </c>
      <c r="G57" s="73">
        <v>1786.6</v>
      </c>
      <c r="H57" s="74">
        <v>2712.05</v>
      </c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</row>
    <row r="58" spans="1:28" ht="12.75" customHeight="1">
      <c r="A58" s="65">
        <v>19</v>
      </c>
      <c r="B58" s="75">
        <v>948.74</v>
      </c>
      <c r="C58" s="66">
        <v>1548.32</v>
      </c>
      <c r="D58" s="66">
        <v>1212.0999999999999</v>
      </c>
      <c r="E58" s="66">
        <v>1371.86</v>
      </c>
      <c r="F58" s="66">
        <v>1669.73</v>
      </c>
      <c r="G58" s="66">
        <v>1829.03</v>
      </c>
      <c r="H58" s="67">
        <v>2776.34</v>
      </c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</row>
    <row r="59" spans="1:28" ht="12.75" customHeight="1">
      <c r="A59" s="71">
        <v>19.5</v>
      </c>
      <c r="B59" s="72">
        <v>970.14</v>
      </c>
      <c r="C59" s="73">
        <v>1582.52</v>
      </c>
      <c r="D59" s="73">
        <v>1239</v>
      </c>
      <c r="E59" s="73">
        <v>1402.1</v>
      </c>
      <c r="F59" s="73">
        <v>1710.05</v>
      </c>
      <c r="G59" s="73">
        <v>1871.47</v>
      </c>
      <c r="H59" s="74">
        <v>2840.62</v>
      </c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</row>
    <row r="60" spans="1:28" ht="12.75" customHeight="1">
      <c r="A60" s="65">
        <v>20</v>
      </c>
      <c r="B60" s="75">
        <v>991.54</v>
      </c>
      <c r="C60" s="66">
        <v>1616.71</v>
      </c>
      <c r="D60" s="66">
        <v>1265.9000000000001</v>
      </c>
      <c r="E60" s="66">
        <v>1432.34</v>
      </c>
      <c r="F60" s="66">
        <v>1750.37</v>
      </c>
      <c r="G60" s="66">
        <v>1913.9</v>
      </c>
      <c r="H60" s="67">
        <v>2904.91</v>
      </c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</row>
    <row r="61" spans="1:28" ht="12.75" customHeight="1">
      <c r="A61" s="71">
        <v>20.5</v>
      </c>
      <c r="B61" s="72">
        <v>1007.66</v>
      </c>
      <c r="C61" s="73">
        <v>1642.34</v>
      </c>
      <c r="D61" s="73">
        <v>1299.23</v>
      </c>
      <c r="E61" s="73">
        <v>1477.72</v>
      </c>
      <c r="F61" s="73">
        <v>1782.17</v>
      </c>
      <c r="G61" s="73">
        <v>1945.7</v>
      </c>
      <c r="H61" s="74">
        <v>2965.26</v>
      </c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</row>
    <row r="62" spans="1:28" ht="12.75" customHeight="1">
      <c r="A62" s="65">
        <v>21</v>
      </c>
      <c r="B62" s="75">
        <v>1023.77</v>
      </c>
      <c r="C62" s="66">
        <v>1667.96</v>
      </c>
      <c r="D62" s="66">
        <v>1332.56</v>
      </c>
      <c r="E62" s="66">
        <v>1523.11</v>
      </c>
      <c r="F62" s="66">
        <v>1813.96</v>
      </c>
      <c r="G62" s="66">
        <v>1977.49</v>
      </c>
      <c r="H62" s="67">
        <v>3025.62</v>
      </c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28" ht="12.75" customHeight="1">
      <c r="A63" s="71">
        <v>21.5</v>
      </c>
      <c r="B63" s="72">
        <v>1039.8800000000001</v>
      </c>
      <c r="C63" s="73">
        <v>1693.59</v>
      </c>
      <c r="D63" s="73">
        <v>1365.89</v>
      </c>
      <c r="E63" s="73">
        <v>1568.5</v>
      </c>
      <c r="F63" s="73">
        <v>1845.76</v>
      </c>
      <c r="G63" s="73">
        <v>2009.29</v>
      </c>
      <c r="H63" s="74">
        <v>3085.97</v>
      </c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</row>
    <row r="64" spans="1:28" ht="12.75" customHeight="1">
      <c r="A64" s="65">
        <v>22</v>
      </c>
      <c r="B64" s="75">
        <v>1056</v>
      </c>
      <c r="C64" s="66">
        <v>1719.21</v>
      </c>
      <c r="D64" s="66">
        <v>1399.23</v>
      </c>
      <c r="E64" s="66">
        <v>1613.88</v>
      </c>
      <c r="F64" s="66">
        <v>1877.55</v>
      </c>
      <c r="G64" s="66">
        <v>2041.08</v>
      </c>
      <c r="H64" s="67">
        <v>3146.32</v>
      </c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</row>
    <row r="65" spans="1:28" ht="12.75" customHeight="1">
      <c r="A65" s="71">
        <v>22.5</v>
      </c>
      <c r="B65" s="72">
        <v>1072.1099999999999</v>
      </c>
      <c r="C65" s="73">
        <v>1744.84</v>
      </c>
      <c r="D65" s="73">
        <v>1432.56</v>
      </c>
      <c r="E65" s="73">
        <v>1659.27</v>
      </c>
      <c r="F65" s="73">
        <v>1909.35</v>
      </c>
      <c r="G65" s="73">
        <v>2072.88</v>
      </c>
      <c r="H65" s="74">
        <v>3206.67</v>
      </c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</row>
    <row r="66" spans="1:28" ht="12.75" customHeight="1">
      <c r="A66" s="65">
        <v>23</v>
      </c>
      <c r="B66" s="75">
        <v>1088.22</v>
      </c>
      <c r="C66" s="66">
        <v>1770.46</v>
      </c>
      <c r="D66" s="66">
        <v>1465.89</v>
      </c>
      <c r="E66" s="66">
        <v>1704.66</v>
      </c>
      <c r="F66" s="66">
        <v>1941.15</v>
      </c>
      <c r="G66" s="66">
        <v>2104.67</v>
      </c>
      <c r="H66" s="67">
        <v>3267.02</v>
      </c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</row>
    <row r="67" spans="1:28" ht="12.75" customHeight="1">
      <c r="A67" s="71">
        <v>23.5</v>
      </c>
      <c r="B67" s="72">
        <v>1104.3399999999999</v>
      </c>
      <c r="C67" s="73">
        <v>1796.09</v>
      </c>
      <c r="D67" s="73">
        <v>1499.23</v>
      </c>
      <c r="E67" s="73">
        <v>1750.04</v>
      </c>
      <c r="F67" s="73">
        <v>1972.94</v>
      </c>
      <c r="G67" s="73">
        <v>2136.4699999999998</v>
      </c>
      <c r="H67" s="74">
        <v>3327.38</v>
      </c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</row>
    <row r="68" spans="1:28" ht="12.75" customHeight="1">
      <c r="A68" s="65">
        <v>24</v>
      </c>
      <c r="B68" s="75">
        <v>1120.45</v>
      </c>
      <c r="C68" s="66">
        <v>1821.71</v>
      </c>
      <c r="D68" s="66">
        <v>1532.56</v>
      </c>
      <c r="E68" s="66">
        <v>1795.43</v>
      </c>
      <c r="F68" s="66">
        <v>2004.74</v>
      </c>
      <c r="G68" s="66">
        <v>2168.2600000000002</v>
      </c>
      <c r="H68" s="67">
        <v>3387.73</v>
      </c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</row>
    <row r="69" spans="1:28" ht="12.75" customHeight="1">
      <c r="A69" s="71">
        <v>24.5</v>
      </c>
      <c r="B69" s="72">
        <v>1136.56</v>
      </c>
      <c r="C69" s="73">
        <v>1847.34</v>
      </c>
      <c r="D69" s="73">
        <v>1565.89</v>
      </c>
      <c r="E69" s="73">
        <v>1840.82</v>
      </c>
      <c r="F69" s="73">
        <v>2036.53</v>
      </c>
      <c r="G69" s="73">
        <v>2200.06</v>
      </c>
      <c r="H69" s="74">
        <v>3448.08</v>
      </c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</row>
    <row r="70" spans="1:28" ht="12.75" customHeight="1">
      <c r="A70" s="65">
        <v>25</v>
      </c>
      <c r="B70" s="75">
        <v>1152.67</v>
      </c>
      <c r="C70" s="66">
        <v>1872.96</v>
      </c>
      <c r="D70" s="66">
        <v>1599.23</v>
      </c>
      <c r="E70" s="66">
        <v>1886.21</v>
      </c>
      <c r="F70" s="66">
        <v>2068.33</v>
      </c>
      <c r="G70" s="66">
        <v>2231.86</v>
      </c>
      <c r="H70" s="67">
        <v>3508.43</v>
      </c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</row>
    <row r="71" spans="1:28" ht="12.75" customHeight="1">
      <c r="A71" s="71">
        <v>25.5</v>
      </c>
      <c r="B71" s="72">
        <v>1168.79</v>
      </c>
      <c r="C71" s="73">
        <v>1898.59</v>
      </c>
      <c r="D71" s="73">
        <v>1632.56</v>
      </c>
      <c r="E71" s="73">
        <v>1931.59</v>
      </c>
      <c r="F71" s="73">
        <v>2100.12</v>
      </c>
      <c r="G71" s="73">
        <v>2263.65</v>
      </c>
      <c r="H71" s="74">
        <v>3568.78</v>
      </c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</row>
    <row r="72" spans="1:28" ht="12.75" customHeight="1">
      <c r="A72" s="65">
        <v>26</v>
      </c>
      <c r="B72" s="75">
        <v>1184.9000000000001</v>
      </c>
      <c r="C72" s="66">
        <v>1924.21</v>
      </c>
      <c r="D72" s="66">
        <v>1665.89</v>
      </c>
      <c r="E72" s="66">
        <v>1976.98</v>
      </c>
      <c r="F72" s="66">
        <v>2131.92</v>
      </c>
      <c r="G72" s="66">
        <v>2295.4499999999998</v>
      </c>
      <c r="H72" s="67">
        <v>3629.14</v>
      </c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</row>
    <row r="73" spans="1:28" ht="12.75" customHeight="1">
      <c r="A73" s="71">
        <v>26.5</v>
      </c>
      <c r="B73" s="72">
        <v>1201.01</v>
      </c>
      <c r="C73" s="73">
        <v>1949.84</v>
      </c>
      <c r="D73" s="73">
        <v>1699.22</v>
      </c>
      <c r="E73" s="73">
        <v>2022.37</v>
      </c>
      <c r="F73" s="73">
        <v>2163.71</v>
      </c>
      <c r="G73" s="73">
        <v>2327.2399999999998</v>
      </c>
      <c r="H73" s="74">
        <v>3689.49</v>
      </c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</row>
    <row r="74" spans="1:28" ht="12.75" customHeight="1">
      <c r="A74" s="65">
        <v>27</v>
      </c>
      <c r="B74" s="75">
        <v>1217.1300000000001</v>
      </c>
      <c r="C74" s="66">
        <v>1975.46</v>
      </c>
      <c r="D74" s="66">
        <v>1732.56</v>
      </c>
      <c r="E74" s="66">
        <v>2067.75</v>
      </c>
      <c r="F74" s="66">
        <v>2195.5100000000002</v>
      </c>
      <c r="G74" s="66">
        <v>2359.04</v>
      </c>
      <c r="H74" s="67">
        <v>3749.84</v>
      </c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</row>
    <row r="75" spans="1:28" ht="12.75" customHeight="1">
      <c r="A75" s="71">
        <v>27.5</v>
      </c>
      <c r="B75" s="72">
        <v>1233.24</v>
      </c>
      <c r="C75" s="73">
        <v>2001.09</v>
      </c>
      <c r="D75" s="73">
        <v>1765.89</v>
      </c>
      <c r="E75" s="73">
        <v>2113.14</v>
      </c>
      <c r="F75" s="73">
        <v>2227.3000000000002</v>
      </c>
      <c r="G75" s="73">
        <v>2390.83</v>
      </c>
      <c r="H75" s="74">
        <v>3810.19</v>
      </c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</row>
    <row r="76" spans="1:28" ht="12.75" customHeight="1">
      <c r="A76" s="65">
        <v>28</v>
      </c>
      <c r="B76" s="75">
        <v>1249.3499999999999</v>
      </c>
      <c r="C76" s="66">
        <v>2026.71</v>
      </c>
      <c r="D76" s="66">
        <v>1799.22</v>
      </c>
      <c r="E76" s="66">
        <v>2158.5300000000002</v>
      </c>
      <c r="F76" s="66">
        <v>2259.1</v>
      </c>
      <c r="G76" s="66">
        <v>2422.63</v>
      </c>
      <c r="H76" s="67">
        <v>3870.54</v>
      </c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</row>
    <row r="77" spans="1:28" ht="12.75" customHeight="1">
      <c r="A77" s="71">
        <v>28.5</v>
      </c>
      <c r="B77" s="72">
        <v>1265.47</v>
      </c>
      <c r="C77" s="73">
        <v>2052.34</v>
      </c>
      <c r="D77" s="73">
        <v>1832.56</v>
      </c>
      <c r="E77" s="73">
        <v>2203.91</v>
      </c>
      <c r="F77" s="73">
        <v>2290.9</v>
      </c>
      <c r="G77" s="73">
        <v>2454.42</v>
      </c>
      <c r="H77" s="74">
        <v>3930.9</v>
      </c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</row>
    <row r="78" spans="1:28" ht="12.75" customHeight="1">
      <c r="A78" s="65">
        <v>29</v>
      </c>
      <c r="B78" s="75">
        <v>1281.58</v>
      </c>
      <c r="C78" s="66">
        <v>2077.96</v>
      </c>
      <c r="D78" s="66">
        <v>1865.89</v>
      </c>
      <c r="E78" s="66">
        <v>2249.3000000000002</v>
      </c>
      <c r="F78" s="66">
        <v>2322.69</v>
      </c>
      <c r="G78" s="66">
        <v>2486.2199999999998</v>
      </c>
      <c r="H78" s="67">
        <v>3991.25</v>
      </c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</row>
    <row r="79" spans="1:28" ht="12.75" customHeight="1">
      <c r="A79" s="71">
        <v>29.5</v>
      </c>
      <c r="B79" s="72">
        <v>1297.69</v>
      </c>
      <c r="C79" s="73">
        <v>2103.59</v>
      </c>
      <c r="D79" s="73">
        <v>1899.22</v>
      </c>
      <c r="E79" s="73">
        <v>2294.69</v>
      </c>
      <c r="F79" s="73">
        <v>2354.4899999999998</v>
      </c>
      <c r="G79" s="73">
        <v>2518.02</v>
      </c>
      <c r="H79" s="74">
        <v>4051.6</v>
      </c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</row>
    <row r="80" spans="1:28" ht="12.75" customHeight="1">
      <c r="A80" s="65">
        <v>30</v>
      </c>
      <c r="B80" s="75">
        <v>1313.8</v>
      </c>
      <c r="C80" s="66">
        <v>2129.21</v>
      </c>
      <c r="D80" s="66">
        <v>1932.56</v>
      </c>
      <c r="E80" s="66">
        <v>2340.08</v>
      </c>
      <c r="F80" s="66">
        <v>2386.2800000000002</v>
      </c>
      <c r="G80" s="66">
        <v>2549.81</v>
      </c>
      <c r="H80" s="67">
        <v>4111.95</v>
      </c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</row>
    <row r="81" spans="1:28" ht="12.75" customHeight="1">
      <c r="A81" s="71">
        <v>30.5</v>
      </c>
      <c r="B81" s="72">
        <v>1329.59</v>
      </c>
      <c r="C81" s="73">
        <v>2154.04</v>
      </c>
      <c r="D81" s="73">
        <v>1965.6</v>
      </c>
      <c r="E81" s="73">
        <v>2385.46</v>
      </c>
      <c r="F81" s="73">
        <v>2416.81</v>
      </c>
      <c r="G81" s="73">
        <v>2581.0300000000002</v>
      </c>
      <c r="H81" s="74">
        <v>4169.17</v>
      </c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</row>
    <row r="82" spans="1:28" ht="12.75" customHeight="1">
      <c r="A82" s="65">
        <v>31</v>
      </c>
      <c r="B82" s="75">
        <v>1345.37</v>
      </c>
      <c r="C82" s="66">
        <v>2178.86</v>
      </c>
      <c r="D82" s="66">
        <v>1998.65</v>
      </c>
      <c r="E82" s="66">
        <v>2430.85</v>
      </c>
      <c r="F82" s="66">
        <v>2447.33</v>
      </c>
      <c r="G82" s="66">
        <v>2612.25</v>
      </c>
      <c r="H82" s="67">
        <v>4226.38</v>
      </c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</row>
    <row r="83" spans="1:28" ht="12.75" customHeight="1">
      <c r="A83" s="71">
        <v>31.5</v>
      </c>
      <c r="B83" s="72">
        <v>1361.16</v>
      </c>
      <c r="C83" s="73">
        <v>2203.69</v>
      </c>
      <c r="D83" s="73">
        <v>2031.69</v>
      </c>
      <c r="E83" s="73">
        <v>2476.2399999999998</v>
      </c>
      <c r="F83" s="73">
        <v>2477.86</v>
      </c>
      <c r="G83" s="73">
        <v>2643.48</v>
      </c>
      <c r="H83" s="74">
        <v>4283.6000000000004</v>
      </c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</row>
    <row r="84" spans="1:28" ht="12.75" customHeight="1">
      <c r="A84" s="65">
        <v>32</v>
      </c>
      <c r="B84" s="75">
        <v>1376.94</v>
      </c>
      <c r="C84" s="66">
        <v>2228.5100000000002</v>
      </c>
      <c r="D84" s="66">
        <v>2064.7399999999998</v>
      </c>
      <c r="E84" s="66">
        <v>2521.62</v>
      </c>
      <c r="F84" s="66">
        <v>2508.38</v>
      </c>
      <c r="G84" s="66">
        <v>2674.7</v>
      </c>
      <c r="H84" s="67">
        <v>4340.8100000000004</v>
      </c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</row>
    <row r="85" spans="1:28" ht="12.75" customHeight="1">
      <c r="A85" s="71">
        <v>32.5</v>
      </c>
      <c r="B85" s="72">
        <v>1392.73</v>
      </c>
      <c r="C85" s="73">
        <v>2253.34</v>
      </c>
      <c r="D85" s="73">
        <v>2097.79</v>
      </c>
      <c r="E85" s="73">
        <v>2567.0100000000002</v>
      </c>
      <c r="F85" s="73">
        <v>2538.9</v>
      </c>
      <c r="G85" s="73">
        <v>2705.92</v>
      </c>
      <c r="H85" s="74">
        <v>4398.03</v>
      </c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</row>
    <row r="86" spans="1:28" ht="12.75" customHeight="1">
      <c r="A86" s="65">
        <v>33</v>
      </c>
      <c r="B86" s="75">
        <v>1408.51</v>
      </c>
      <c r="C86" s="66">
        <v>2278.17</v>
      </c>
      <c r="D86" s="66">
        <v>2130.83</v>
      </c>
      <c r="E86" s="66">
        <v>2612.4</v>
      </c>
      <c r="F86" s="66">
        <v>2569.4299999999998</v>
      </c>
      <c r="G86" s="66">
        <v>2737.14</v>
      </c>
      <c r="H86" s="67">
        <v>4455.24</v>
      </c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</row>
    <row r="87" spans="1:28" ht="12.75" customHeight="1">
      <c r="A87" s="71">
        <v>33.5</v>
      </c>
      <c r="B87" s="72">
        <v>1424.3</v>
      </c>
      <c r="C87" s="73">
        <v>2302.9899999999998</v>
      </c>
      <c r="D87" s="73">
        <v>2163.88</v>
      </c>
      <c r="E87" s="73">
        <v>2657.78</v>
      </c>
      <c r="F87" s="73">
        <v>2599.9499999999998</v>
      </c>
      <c r="G87" s="73">
        <v>2768.36</v>
      </c>
      <c r="H87" s="74">
        <v>4512.46</v>
      </c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</row>
    <row r="88" spans="1:28" ht="12.75" customHeight="1">
      <c r="A88" s="65">
        <v>34</v>
      </c>
      <c r="B88" s="75">
        <v>1440.08</v>
      </c>
      <c r="C88" s="66">
        <v>2327.8200000000002</v>
      </c>
      <c r="D88" s="66">
        <v>2196.92</v>
      </c>
      <c r="E88" s="66">
        <v>2703.17</v>
      </c>
      <c r="F88" s="66">
        <v>2630.48</v>
      </c>
      <c r="G88" s="66">
        <v>2799.58</v>
      </c>
      <c r="H88" s="67">
        <v>4569.68</v>
      </c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</row>
    <row r="89" spans="1:28" ht="12.75" customHeight="1">
      <c r="A89" s="71">
        <v>34.5</v>
      </c>
      <c r="B89" s="72">
        <v>1455.87</v>
      </c>
      <c r="C89" s="73">
        <v>2352.64</v>
      </c>
      <c r="D89" s="73">
        <v>2229.9699999999998</v>
      </c>
      <c r="E89" s="73">
        <v>2748.56</v>
      </c>
      <c r="F89" s="73">
        <v>2661</v>
      </c>
      <c r="G89" s="73">
        <v>2830.8</v>
      </c>
      <c r="H89" s="74">
        <v>4626.8900000000003</v>
      </c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</row>
    <row r="90" spans="1:28" ht="12.75" customHeight="1">
      <c r="A90" s="65">
        <v>35</v>
      </c>
      <c r="B90" s="75">
        <v>1471.65</v>
      </c>
      <c r="C90" s="66">
        <v>2377.4699999999998</v>
      </c>
      <c r="D90" s="66">
        <v>2263.02</v>
      </c>
      <c r="E90" s="66">
        <v>2793.95</v>
      </c>
      <c r="F90" s="66">
        <v>2691.53</v>
      </c>
      <c r="G90" s="66">
        <v>2862.03</v>
      </c>
      <c r="H90" s="67">
        <v>4684.1099999999997</v>
      </c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</row>
    <row r="91" spans="1:28" ht="12.75" customHeight="1">
      <c r="A91" s="71">
        <v>35.5</v>
      </c>
      <c r="B91" s="72">
        <v>1487.44</v>
      </c>
      <c r="C91" s="73">
        <v>2402.29</v>
      </c>
      <c r="D91" s="73">
        <v>2296.06</v>
      </c>
      <c r="E91" s="73">
        <v>2839.33</v>
      </c>
      <c r="F91" s="73">
        <v>2722.05</v>
      </c>
      <c r="G91" s="73">
        <v>2893.25</v>
      </c>
      <c r="H91" s="74">
        <v>4741.32</v>
      </c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</row>
    <row r="92" spans="1:28" ht="12.75" customHeight="1">
      <c r="A92" s="65">
        <v>36</v>
      </c>
      <c r="B92" s="75">
        <v>1503.22</v>
      </c>
      <c r="C92" s="66">
        <v>2427.12</v>
      </c>
      <c r="D92" s="66">
        <v>2329.11</v>
      </c>
      <c r="E92" s="66">
        <v>2884.72</v>
      </c>
      <c r="F92" s="66">
        <v>2752.58</v>
      </c>
      <c r="G92" s="66">
        <v>2924.47</v>
      </c>
      <c r="H92" s="67">
        <v>4798.54</v>
      </c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</row>
    <row r="93" spans="1:28" ht="12.75" customHeight="1">
      <c r="A93" s="71">
        <v>36.5</v>
      </c>
      <c r="B93" s="72">
        <v>1519.01</v>
      </c>
      <c r="C93" s="73">
        <v>2451.94</v>
      </c>
      <c r="D93" s="73">
        <v>2362.15</v>
      </c>
      <c r="E93" s="73">
        <v>2930.11</v>
      </c>
      <c r="F93" s="73">
        <v>2783.1</v>
      </c>
      <c r="G93" s="73">
        <v>2955.69</v>
      </c>
      <c r="H93" s="74">
        <v>4855.75</v>
      </c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</row>
    <row r="94" spans="1:28" ht="12.75" customHeight="1">
      <c r="A94" s="65">
        <v>37</v>
      </c>
      <c r="B94" s="75">
        <v>1534.79</v>
      </c>
      <c r="C94" s="66">
        <v>2476.77</v>
      </c>
      <c r="D94" s="66">
        <v>2395.1999999999998</v>
      </c>
      <c r="E94" s="66">
        <v>2975.49</v>
      </c>
      <c r="F94" s="66">
        <v>2813.63</v>
      </c>
      <c r="G94" s="66">
        <v>2986.91</v>
      </c>
      <c r="H94" s="67">
        <v>4912.97</v>
      </c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</row>
    <row r="95" spans="1:28" ht="12.75" customHeight="1">
      <c r="A95" s="71">
        <v>37.5</v>
      </c>
      <c r="B95" s="72">
        <v>1550.58</v>
      </c>
      <c r="C95" s="73">
        <v>2501.59</v>
      </c>
      <c r="D95" s="73">
        <v>2428.25</v>
      </c>
      <c r="E95" s="73">
        <v>3020.88</v>
      </c>
      <c r="F95" s="73">
        <v>2844.15</v>
      </c>
      <c r="G95" s="73">
        <v>3018.13</v>
      </c>
      <c r="H95" s="74">
        <v>4970.18</v>
      </c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</row>
    <row r="96" spans="1:28" ht="12.75" customHeight="1">
      <c r="A96" s="65">
        <v>38</v>
      </c>
      <c r="B96" s="75">
        <v>1566.36</v>
      </c>
      <c r="C96" s="66">
        <v>2526.42</v>
      </c>
      <c r="D96" s="66">
        <v>2461.29</v>
      </c>
      <c r="E96" s="66">
        <v>3066.27</v>
      </c>
      <c r="F96" s="66">
        <v>2874.67</v>
      </c>
      <c r="G96" s="66">
        <v>3049.35</v>
      </c>
      <c r="H96" s="67">
        <v>5027.3999999999996</v>
      </c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</row>
    <row r="97" spans="1:28" ht="12.75" customHeight="1">
      <c r="A97" s="71">
        <v>38.5</v>
      </c>
      <c r="B97" s="72">
        <v>1582.15</v>
      </c>
      <c r="C97" s="73">
        <v>2551.25</v>
      </c>
      <c r="D97" s="73">
        <v>2494.34</v>
      </c>
      <c r="E97" s="73">
        <v>3111.65</v>
      </c>
      <c r="F97" s="73">
        <v>2905.2</v>
      </c>
      <c r="G97" s="73">
        <v>3080.58</v>
      </c>
      <c r="H97" s="74">
        <v>5084.62</v>
      </c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</row>
    <row r="98" spans="1:28" ht="12.75" customHeight="1">
      <c r="A98" s="65">
        <v>39</v>
      </c>
      <c r="B98" s="75">
        <v>1597.93</v>
      </c>
      <c r="C98" s="66">
        <v>2576.0700000000002</v>
      </c>
      <c r="D98" s="66">
        <v>2527.38</v>
      </c>
      <c r="E98" s="66">
        <v>3157.04</v>
      </c>
      <c r="F98" s="66">
        <v>2935.72</v>
      </c>
      <c r="G98" s="66">
        <v>3111.8</v>
      </c>
      <c r="H98" s="67">
        <v>5141.83</v>
      </c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</row>
    <row r="99" spans="1:28" ht="12.75" customHeight="1">
      <c r="A99" s="71">
        <v>39.5</v>
      </c>
      <c r="B99" s="72">
        <v>1613.72</v>
      </c>
      <c r="C99" s="73">
        <v>2600.9</v>
      </c>
      <c r="D99" s="73">
        <v>2560.4299999999998</v>
      </c>
      <c r="E99" s="73">
        <v>3202.43</v>
      </c>
      <c r="F99" s="73">
        <v>2966.25</v>
      </c>
      <c r="G99" s="73">
        <v>3143.02</v>
      </c>
      <c r="H99" s="74">
        <v>5199.05</v>
      </c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</row>
    <row r="100" spans="1:28" ht="12.75" customHeight="1">
      <c r="A100" s="65">
        <v>40</v>
      </c>
      <c r="B100" s="75">
        <v>1629.5</v>
      </c>
      <c r="C100" s="66">
        <v>2625.72</v>
      </c>
      <c r="D100" s="66">
        <v>2593.48</v>
      </c>
      <c r="E100" s="66">
        <v>3247.82</v>
      </c>
      <c r="F100" s="66">
        <v>2996.77</v>
      </c>
      <c r="G100" s="66">
        <v>3174.24</v>
      </c>
      <c r="H100" s="67">
        <v>5256.26</v>
      </c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</row>
    <row r="101" spans="1:28" ht="12.75" customHeight="1">
      <c r="A101" s="71">
        <v>40.5</v>
      </c>
      <c r="B101" s="72">
        <v>1645.29</v>
      </c>
      <c r="C101" s="73">
        <v>2650.55</v>
      </c>
      <c r="D101" s="73">
        <v>2626.52</v>
      </c>
      <c r="E101" s="73">
        <v>3293.2</v>
      </c>
      <c r="F101" s="73">
        <v>3027.3</v>
      </c>
      <c r="G101" s="73">
        <v>3205.46</v>
      </c>
      <c r="H101" s="74">
        <v>5313.48</v>
      </c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</row>
    <row r="102" spans="1:28" ht="12.75" customHeight="1">
      <c r="A102" s="65">
        <v>41</v>
      </c>
      <c r="B102" s="75">
        <v>1661.07</v>
      </c>
      <c r="C102" s="66">
        <v>2675.37</v>
      </c>
      <c r="D102" s="66">
        <v>2659.57</v>
      </c>
      <c r="E102" s="66">
        <v>3338.59</v>
      </c>
      <c r="F102" s="66">
        <v>3057.82</v>
      </c>
      <c r="G102" s="66">
        <v>3236.68</v>
      </c>
      <c r="H102" s="67">
        <v>5370.69</v>
      </c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</row>
    <row r="103" spans="1:28" ht="12.75" customHeight="1">
      <c r="A103" s="71">
        <v>41.5</v>
      </c>
      <c r="B103" s="72">
        <v>1676.86</v>
      </c>
      <c r="C103" s="73">
        <v>2700.2</v>
      </c>
      <c r="D103" s="73">
        <v>2692.61</v>
      </c>
      <c r="E103" s="73">
        <v>3383.98</v>
      </c>
      <c r="F103" s="73">
        <v>3088.35</v>
      </c>
      <c r="G103" s="73">
        <v>3267.91</v>
      </c>
      <c r="H103" s="74">
        <v>5427.91</v>
      </c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</row>
    <row r="104" spans="1:28" ht="12.75" customHeight="1">
      <c r="A104" s="65">
        <v>42</v>
      </c>
      <c r="B104" s="75">
        <v>1692.64</v>
      </c>
      <c r="C104" s="66">
        <v>2725.02</v>
      </c>
      <c r="D104" s="66">
        <v>2725.66</v>
      </c>
      <c r="E104" s="66">
        <v>3429.36</v>
      </c>
      <c r="F104" s="66">
        <v>3118.87</v>
      </c>
      <c r="G104" s="66">
        <v>3299.13</v>
      </c>
      <c r="H104" s="67">
        <v>5485.12</v>
      </c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</row>
    <row r="105" spans="1:28" ht="12.75" customHeight="1">
      <c r="A105" s="71">
        <v>42.5</v>
      </c>
      <c r="B105" s="72">
        <v>1708.43</v>
      </c>
      <c r="C105" s="73">
        <v>2749.85</v>
      </c>
      <c r="D105" s="73">
        <v>2758.71</v>
      </c>
      <c r="E105" s="73">
        <v>3474.75</v>
      </c>
      <c r="F105" s="73">
        <v>3149.39</v>
      </c>
      <c r="G105" s="73">
        <v>3330.35</v>
      </c>
      <c r="H105" s="74">
        <v>5542.34</v>
      </c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</row>
    <row r="106" spans="1:28" ht="12.75" customHeight="1">
      <c r="A106" s="65">
        <v>43</v>
      </c>
      <c r="B106" s="75">
        <v>1724.21</v>
      </c>
      <c r="C106" s="66">
        <v>2774.68</v>
      </c>
      <c r="D106" s="66">
        <v>2791.75</v>
      </c>
      <c r="E106" s="66">
        <v>3520.14</v>
      </c>
      <c r="F106" s="66">
        <v>3179.92</v>
      </c>
      <c r="G106" s="66">
        <v>3361.57</v>
      </c>
      <c r="H106" s="67">
        <v>5599.55</v>
      </c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</row>
    <row r="107" spans="1:28" ht="12.75" customHeight="1">
      <c r="A107" s="71">
        <v>43.5</v>
      </c>
      <c r="B107" s="72">
        <v>1740</v>
      </c>
      <c r="C107" s="73">
        <v>2799.5</v>
      </c>
      <c r="D107" s="73">
        <v>2824.8</v>
      </c>
      <c r="E107" s="73">
        <v>3565.52</v>
      </c>
      <c r="F107" s="73">
        <v>3210.44</v>
      </c>
      <c r="G107" s="73">
        <v>3392.79</v>
      </c>
      <c r="H107" s="74">
        <v>5656.77</v>
      </c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</row>
    <row r="108" spans="1:28" ht="12.75" customHeight="1">
      <c r="A108" s="65">
        <v>44</v>
      </c>
      <c r="B108" s="75">
        <v>1755.78</v>
      </c>
      <c r="C108" s="66">
        <v>2824.33</v>
      </c>
      <c r="D108" s="66">
        <v>2857.84</v>
      </c>
      <c r="E108" s="66">
        <v>3610.91</v>
      </c>
      <c r="F108" s="66">
        <v>3240.97</v>
      </c>
      <c r="G108" s="66">
        <v>3424.01</v>
      </c>
      <c r="H108" s="67">
        <v>5713.99</v>
      </c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</row>
    <row r="109" spans="1:28" ht="12.75" customHeight="1">
      <c r="A109" s="71">
        <v>44.5</v>
      </c>
      <c r="B109" s="72">
        <v>1771.57</v>
      </c>
      <c r="C109" s="73">
        <v>2849.15</v>
      </c>
      <c r="D109" s="73">
        <v>2890.89</v>
      </c>
      <c r="E109" s="73">
        <v>3656.3</v>
      </c>
      <c r="F109" s="73">
        <v>3271.49</v>
      </c>
      <c r="G109" s="73">
        <v>3455.23</v>
      </c>
      <c r="H109" s="74">
        <v>5771.2</v>
      </c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</row>
    <row r="110" spans="1:28" ht="12.75" customHeight="1">
      <c r="A110" s="65">
        <v>45</v>
      </c>
      <c r="B110" s="75">
        <v>1787.35</v>
      </c>
      <c r="C110" s="66">
        <v>2873.98</v>
      </c>
      <c r="D110" s="66">
        <v>2923.94</v>
      </c>
      <c r="E110" s="66">
        <v>3701.69</v>
      </c>
      <c r="F110" s="66">
        <v>3302.02</v>
      </c>
      <c r="G110" s="66">
        <v>3486.46</v>
      </c>
      <c r="H110" s="67">
        <v>5828.42</v>
      </c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</row>
    <row r="111" spans="1:28" ht="12.75" customHeight="1">
      <c r="A111" s="71">
        <v>45.5</v>
      </c>
      <c r="B111" s="72">
        <v>1803.14</v>
      </c>
      <c r="C111" s="73">
        <v>2898.8</v>
      </c>
      <c r="D111" s="73">
        <v>2956.98</v>
      </c>
      <c r="E111" s="73">
        <v>3747.07</v>
      </c>
      <c r="F111" s="73">
        <v>3332.54</v>
      </c>
      <c r="G111" s="73">
        <v>3517.68</v>
      </c>
      <c r="H111" s="74">
        <v>5885.63</v>
      </c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</row>
    <row r="112" spans="1:28" ht="12.75" customHeight="1">
      <c r="A112" s="65">
        <v>46</v>
      </c>
      <c r="B112" s="75">
        <v>1818.92</v>
      </c>
      <c r="C112" s="66">
        <v>2923.63</v>
      </c>
      <c r="D112" s="66">
        <v>2990.03</v>
      </c>
      <c r="E112" s="66">
        <v>3792.46</v>
      </c>
      <c r="F112" s="66">
        <v>3363.07</v>
      </c>
      <c r="G112" s="66">
        <v>3548.9</v>
      </c>
      <c r="H112" s="67">
        <v>5942.85</v>
      </c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</row>
    <row r="113" spans="1:28" ht="12.75" customHeight="1">
      <c r="A113" s="71">
        <v>46.5</v>
      </c>
      <c r="B113" s="72">
        <v>1834.71</v>
      </c>
      <c r="C113" s="73">
        <v>2948.45</v>
      </c>
      <c r="D113" s="73">
        <v>3023.07</v>
      </c>
      <c r="E113" s="73">
        <v>3837.85</v>
      </c>
      <c r="F113" s="73">
        <v>3393.59</v>
      </c>
      <c r="G113" s="73">
        <v>3580.12</v>
      </c>
      <c r="H113" s="74">
        <v>6000.06</v>
      </c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</row>
    <row r="114" spans="1:28" ht="12.75" customHeight="1">
      <c r="A114" s="65">
        <v>47</v>
      </c>
      <c r="B114" s="75">
        <v>1850.49</v>
      </c>
      <c r="C114" s="66">
        <v>2973.28</v>
      </c>
      <c r="D114" s="66">
        <v>3056.12</v>
      </c>
      <c r="E114" s="66">
        <v>3883.23</v>
      </c>
      <c r="F114" s="66">
        <v>3424.12</v>
      </c>
      <c r="G114" s="66">
        <v>3611.34</v>
      </c>
      <c r="H114" s="67">
        <v>6057.28</v>
      </c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</row>
    <row r="115" spans="1:28" ht="12.75" customHeight="1">
      <c r="A115" s="71">
        <v>47.5</v>
      </c>
      <c r="B115" s="72">
        <v>1866.28</v>
      </c>
      <c r="C115" s="73">
        <v>2998.1</v>
      </c>
      <c r="D115" s="73">
        <v>3089.17</v>
      </c>
      <c r="E115" s="73">
        <v>3928.62</v>
      </c>
      <c r="F115" s="73">
        <v>3454.64</v>
      </c>
      <c r="G115" s="73">
        <v>3642.56</v>
      </c>
      <c r="H115" s="74">
        <v>6114.49</v>
      </c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</row>
    <row r="116" spans="1:28" ht="12.75" customHeight="1">
      <c r="A116" s="65">
        <v>48</v>
      </c>
      <c r="B116" s="75">
        <v>1882.06</v>
      </c>
      <c r="C116" s="66">
        <v>3022.93</v>
      </c>
      <c r="D116" s="66">
        <v>3122.21</v>
      </c>
      <c r="E116" s="66">
        <v>3974.01</v>
      </c>
      <c r="F116" s="66">
        <v>3485.16</v>
      </c>
      <c r="G116" s="66">
        <v>3673.78</v>
      </c>
      <c r="H116" s="67">
        <v>6171.71</v>
      </c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</row>
    <row r="117" spans="1:28" ht="12.75" customHeight="1">
      <c r="A117" s="71">
        <v>48.5</v>
      </c>
      <c r="B117" s="72">
        <v>1897.85</v>
      </c>
      <c r="C117" s="73">
        <v>3047.76</v>
      </c>
      <c r="D117" s="73">
        <v>3155.26</v>
      </c>
      <c r="E117" s="73">
        <v>4019.39</v>
      </c>
      <c r="F117" s="73">
        <v>3515.69</v>
      </c>
      <c r="G117" s="73">
        <v>3705.01</v>
      </c>
      <c r="H117" s="74">
        <v>6228.93</v>
      </c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</row>
    <row r="118" spans="1:28" ht="12.75" customHeight="1">
      <c r="A118" s="65">
        <v>49</v>
      </c>
      <c r="B118" s="75">
        <v>1913.63</v>
      </c>
      <c r="C118" s="66">
        <v>3072.58</v>
      </c>
      <c r="D118" s="66">
        <v>3188.3</v>
      </c>
      <c r="E118" s="66">
        <v>4064.78</v>
      </c>
      <c r="F118" s="66">
        <v>3546.21</v>
      </c>
      <c r="G118" s="66">
        <v>3736.23</v>
      </c>
      <c r="H118" s="67">
        <v>6286.14</v>
      </c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</row>
    <row r="119" spans="1:28" ht="12.75" customHeight="1">
      <c r="A119" s="71">
        <v>49.5</v>
      </c>
      <c r="B119" s="72">
        <v>1929.42</v>
      </c>
      <c r="C119" s="73">
        <v>3097.41</v>
      </c>
      <c r="D119" s="73">
        <v>3221.35</v>
      </c>
      <c r="E119" s="73">
        <v>4110.17</v>
      </c>
      <c r="F119" s="73">
        <v>3576.74</v>
      </c>
      <c r="G119" s="73">
        <v>3767.45</v>
      </c>
      <c r="H119" s="74">
        <v>6343.36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</row>
    <row r="120" spans="1:28" ht="12.75" customHeight="1">
      <c r="A120" s="65">
        <v>50</v>
      </c>
      <c r="B120" s="75">
        <v>1945.2</v>
      </c>
      <c r="C120" s="66">
        <v>3122.23</v>
      </c>
      <c r="D120" s="66">
        <v>3254.4</v>
      </c>
      <c r="E120" s="66">
        <v>4155.5600000000004</v>
      </c>
      <c r="F120" s="66">
        <v>3607.26</v>
      </c>
      <c r="G120" s="66">
        <v>3798.67</v>
      </c>
      <c r="H120" s="67">
        <v>6400.57</v>
      </c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</row>
    <row r="121" spans="1:28" ht="12.75" customHeight="1">
      <c r="A121" s="71">
        <v>50.5</v>
      </c>
      <c r="B121" s="72">
        <v>1960.99</v>
      </c>
      <c r="C121" s="73">
        <v>3147.06</v>
      </c>
      <c r="D121" s="73">
        <v>3287.44</v>
      </c>
      <c r="E121" s="73">
        <v>4200.9399999999996</v>
      </c>
      <c r="F121" s="73">
        <v>3637.79</v>
      </c>
      <c r="G121" s="73">
        <v>3829.89</v>
      </c>
      <c r="H121" s="74">
        <v>6457.79</v>
      </c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</row>
    <row r="122" spans="1:28" ht="12.75" customHeight="1">
      <c r="A122" s="65">
        <v>51</v>
      </c>
      <c r="B122" s="75">
        <v>1976.77</v>
      </c>
      <c r="C122" s="66">
        <v>3171.88</v>
      </c>
      <c r="D122" s="66">
        <v>3320.49</v>
      </c>
      <c r="E122" s="66">
        <v>4246.33</v>
      </c>
      <c r="F122" s="66">
        <v>3668.31</v>
      </c>
      <c r="G122" s="66">
        <v>3861.11</v>
      </c>
      <c r="H122" s="67">
        <v>6515</v>
      </c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</row>
    <row r="123" spans="1:28" ht="12.75" customHeight="1">
      <c r="A123" s="71">
        <v>51.5</v>
      </c>
      <c r="B123" s="72">
        <v>1992.56</v>
      </c>
      <c r="C123" s="73">
        <v>3196.71</v>
      </c>
      <c r="D123" s="73">
        <v>3353.53</v>
      </c>
      <c r="E123" s="73">
        <v>4291.72</v>
      </c>
      <c r="F123" s="73">
        <v>3698.84</v>
      </c>
      <c r="G123" s="73">
        <v>3892.34</v>
      </c>
      <c r="H123" s="74">
        <v>6572.22</v>
      </c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</row>
    <row r="124" spans="1:28" ht="12.75" customHeight="1">
      <c r="A124" s="65">
        <v>52</v>
      </c>
      <c r="B124" s="75">
        <v>2008.34</v>
      </c>
      <c r="C124" s="66">
        <v>3221.53</v>
      </c>
      <c r="D124" s="66">
        <v>3386.58</v>
      </c>
      <c r="E124" s="66">
        <v>4337.1000000000004</v>
      </c>
      <c r="F124" s="66">
        <v>3729.36</v>
      </c>
      <c r="G124" s="66">
        <v>3923.56</v>
      </c>
      <c r="H124" s="67">
        <v>6629.43</v>
      </c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</row>
    <row r="125" spans="1:28" ht="12.75" customHeight="1">
      <c r="A125" s="71">
        <v>52.5</v>
      </c>
      <c r="B125" s="72">
        <v>2024.13</v>
      </c>
      <c r="C125" s="73">
        <v>3246.36</v>
      </c>
      <c r="D125" s="73">
        <v>3419.63</v>
      </c>
      <c r="E125" s="73">
        <v>4382.49</v>
      </c>
      <c r="F125" s="73">
        <v>3759.88</v>
      </c>
      <c r="G125" s="73">
        <v>3954.78</v>
      </c>
      <c r="H125" s="74">
        <v>6686.65</v>
      </c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</row>
    <row r="126" spans="1:28" ht="12.75" customHeight="1">
      <c r="A126" s="65">
        <v>53</v>
      </c>
      <c r="B126" s="75">
        <v>2039.91</v>
      </c>
      <c r="C126" s="66">
        <v>3271.19</v>
      </c>
      <c r="D126" s="66">
        <v>3452.67</v>
      </c>
      <c r="E126" s="66">
        <v>4427.88</v>
      </c>
      <c r="F126" s="66">
        <v>3790.41</v>
      </c>
      <c r="G126" s="66">
        <v>3986</v>
      </c>
      <c r="H126" s="67">
        <v>6743.86</v>
      </c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</row>
    <row r="127" spans="1:28" ht="12.75" customHeight="1">
      <c r="A127" s="71">
        <v>53.5</v>
      </c>
      <c r="B127" s="72">
        <v>2055.6999999999998</v>
      </c>
      <c r="C127" s="73">
        <v>3296.01</v>
      </c>
      <c r="D127" s="73">
        <v>3485.72</v>
      </c>
      <c r="E127" s="73">
        <v>4473.26</v>
      </c>
      <c r="F127" s="73">
        <v>3820.93</v>
      </c>
      <c r="G127" s="73">
        <v>4017.22</v>
      </c>
      <c r="H127" s="74">
        <v>6801.08</v>
      </c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</row>
    <row r="128" spans="1:28" ht="12.75" customHeight="1">
      <c r="A128" s="65">
        <v>54</v>
      </c>
      <c r="B128" s="75">
        <v>2071.48</v>
      </c>
      <c r="C128" s="66">
        <v>3320.84</v>
      </c>
      <c r="D128" s="66">
        <v>3518.76</v>
      </c>
      <c r="E128" s="66">
        <v>4518.6499999999996</v>
      </c>
      <c r="F128" s="66">
        <v>3851.46</v>
      </c>
      <c r="G128" s="66">
        <v>4048.44</v>
      </c>
      <c r="H128" s="67">
        <v>6858.3</v>
      </c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</row>
    <row r="129" spans="1:28" ht="12.75" customHeight="1">
      <c r="A129" s="71">
        <v>54.5</v>
      </c>
      <c r="B129" s="72">
        <v>2087.27</v>
      </c>
      <c r="C129" s="73">
        <v>3345.66</v>
      </c>
      <c r="D129" s="73">
        <v>3551.81</v>
      </c>
      <c r="E129" s="73">
        <v>4564.04</v>
      </c>
      <c r="F129" s="73">
        <v>3881.98</v>
      </c>
      <c r="G129" s="73">
        <v>4079.66</v>
      </c>
      <c r="H129" s="74">
        <v>6915.51</v>
      </c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</row>
    <row r="130" spans="1:28" ht="12.75" customHeight="1">
      <c r="A130" s="65">
        <v>55</v>
      </c>
      <c r="B130" s="75">
        <v>2103.0500000000002</v>
      </c>
      <c r="C130" s="66">
        <v>3370.49</v>
      </c>
      <c r="D130" s="66">
        <v>3584.86</v>
      </c>
      <c r="E130" s="66">
        <v>4609.43</v>
      </c>
      <c r="F130" s="66">
        <v>3912.51</v>
      </c>
      <c r="G130" s="66">
        <v>4110.8900000000003</v>
      </c>
      <c r="H130" s="67">
        <v>6972.73</v>
      </c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</row>
    <row r="131" spans="1:28" ht="12.75" customHeight="1">
      <c r="A131" s="71">
        <v>55.5</v>
      </c>
      <c r="B131" s="72">
        <v>2118.84</v>
      </c>
      <c r="C131" s="73">
        <v>3395.31</v>
      </c>
      <c r="D131" s="73">
        <v>3617.9</v>
      </c>
      <c r="E131" s="73">
        <v>4654.8100000000004</v>
      </c>
      <c r="F131" s="73">
        <v>3943.03</v>
      </c>
      <c r="G131" s="73">
        <v>4142.1099999999997</v>
      </c>
      <c r="H131" s="74">
        <v>7029.94</v>
      </c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</row>
    <row r="132" spans="1:28" ht="12.75" customHeight="1">
      <c r="A132" s="65">
        <v>56</v>
      </c>
      <c r="B132" s="75">
        <v>2134.62</v>
      </c>
      <c r="C132" s="66">
        <v>3420.14</v>
      </c>
      <c r="D132" s="66">
        <v>3650.95</v>
      </c>
      <c r="E132" s="66">
        <v>4700.2</v>
      </c>
      <c r="F132" s="66">
        <v>3973.56</v>
      </c>
      <c r="G132" s="66">
        <v>4173.33</v>
      </c>
      <c r="H132" s="67">
        <v>7087.16</v>
      </c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</row>
    <row r="133" spans="1:28" ht="12.75" customHeight="1">
      <c r="A133" s="71">
        <v>56.5</v>
      </c>
      <c r="B133" s="72">
        <v>2150.41</v>
      </c>
      <c r="C133" s="73">
        <v>3444.96</v>
      </c>
      <c r="D133" s="73">
        <v>3683.99</v>
      </c>
      <c r="E133" s="73">
        <v>4745.59</v>
      </c>
      <c r="F133" s="73">
        <v>4004.08</v>
      </c>
      <c r="G133" s="73">
        <v>4204.55</v>
      </c>
      <c r="H133" s="74">
        <v>7144.37</v>
      </c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</row>
    <row r="134" spans="1:28" ht="12.75" customHeight="1">
      <c r="A134" s="65">
        <v>57</v>
      </c>
      <c r="B134" s="75">
        <v>2166.19</v>
      </c>
      <c r="C134" s="66">
        <v>3469.79</v>
      </c>
      <c r="D134" s="66">
        <v>3717.04</v>
      </c>
      <c r="E134" s="66">
        <v>4790.97</v>
      </c>
      <c r="F134" s="66">
        <v>4034.61</v>
      </c>
      <c r="G134" s="66">
        <v>4235.7700000000004</v>
      </c>
      <c r="H134" s="67">
        <v>7201.59</v>
      </c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</row>
    <row r="135" spans="1:28" ht="12.75" customHeight="1">
      <c r="A135" s="71">
        <v>57.5</v>
      </c>
      <c r="B135" s="72">
        <v>2181.98</v>
      </c>
      <c r="C135" s="73">
        <v>3494.61</v>
      </c>
      <c r="D135" s="73">
        <v>3750.09</v>
      </c>
      <c r="E135" s="73">
        <v>4836.3599999999997</v>
      </c>
      <c r="F135" s="73">
        <v>4065.13</v>
      </c>
      <c r="G135" s="73">
        <v>4266.99</v>
      </c>
      <c r="H135" s="74">
        <v>7258.8</v>
      </c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</row>
    <row r="136" spans="1:28" ht="12.75" customHeight="1">
      <c r="A136" s="65">
        <v>58</v>
      </c>
      <c r="B136" s="75">
        <v>2197.7600000000002</v>
      </c>
      <c r="C136" s="66">
        <v>3519.44</v>
      </c>
      <c r="D136" s="66">
        <v>3783.13</v>
      </c>
      <c r="E136" s="66">
        <v>4881.75</v>
      </c>
      <c r="F136" s="66">
        <v>4095.65</v>
      </c>
      <c r="G136" s="66">
        <v>4298.21</v>
      </c>
      <c r="H136" s="67">
        <v>7316.02</v>
      </c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</row>
    <row r="137" spans="1:28" ht="12.75" customHeight="1">
      <c r="A137" s="71">
        <v>58.5</v>
      </c>
      <c r="B137" s="72">
        <v>2213.5500000000002</v>
      </c>
      <c r="C137" s="73">
        <v>3544.27</v>
      </c>
      <c r="D137" s="73">
        <v>3816.18</v>
      </c>
      <c r="E137" s="73">
        <v>4927.13</v>
      </c>
      <c r="F137" s="73">
        <v>4126.18</v>
      </c>
      <c r="G137" s="73">
        <v>4329.4399999999996</v>
      </c>
      <c r="H137" s="74">
        <v>7373.24</v>
      </c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</row>
    <row r="138" spans="1:28" ht="12.75" customHeight="1">
      <c r="A138" s="65">
        <v>59</v>
      </c>
      <c r="B138" s="75">
        <v>2229.33</v>
      </c>
      <c r="C138" s="66">
        <v>3569.09</v>
      </c>
      <c r="D138" s="66">
        <v>3849.22</v>
      </c>
      <c r="E138" s="66">
        <v>4972.5200000000004</v>
      </c>
      <c r="F138" s="66">
        <v>4156.7</v>
      </c>
      <c r="G138" s="66">
        <v>4360.66</v>
      </c>
      <c r="H138" s="67">
        <v>7430.45</v>
      </c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</row>
    <row r="139" spans="1:28" ht="12.75" customHeight="1">
      <c r="A139" s="71">
        <v>59.5</v>
      </c>
      <c r="B139" s="72">
        <v>2245.12</v>
      </c>
      <c r="C139" s="73">
        <v>3593.92</v>
      </c>
      <c r="D139" s="73">
        <v>3882.27</v>
      </c>
      <c r="E139" s="73">
        <v>5017.91</v>
      </c>
      <c r="F139" s="73">
        <v>4187.2299999999996</v>
      </c>
      <c r="G139" s="73">
        <v>4391.88</v>
      </c>
      <c r="H139" s="74">
        <v>7487.67</v>
      </c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</row>
    <row r="140" spans="1:28" ht="12.75" customHeight="1">
      <c r="A140" s="65">
        <v>60</v>
      </c>
      <c r="B140" s="75">
        <v>2260.9</v>
      </c>
      <c r="C140" s="66">
        <v>3618.74</v>
      </c>
      <c r="D140" s="66">
        <v>3915.32</v>
      </c>
      <c r="E140" s="66">
        <v>5063.3</v>
      </c>
      <c r="F140" s="66">
        <v>4217.75</v>
      </c>
      <c r="G140" s="66">
        <v>4423.1000000000004</v>
      </c>
      <c r="H140" s="67">
        <v>7544.88</v>
      </c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</row>
    <row r="141" spans="1:28" ht="12.75" customHeight="1">
      <c r="A141" s="71">
        <v>60.5</v>
      </c>
      <c r="B141" s="72">
        <v>2276.69</v>
      </c>
      <c r="C141" s="73">
        <v>3643.57</v>
      </c>
      <c r="D141" s="73">
        <v>3948.36</v>
      </c>
      <c r="E141" s="73">
        <v>5108.68</v>
      </c>
      <c r="F141" s="73">
        <v>4248.28</v>
      </c>
      <c r="G141" s="73">
        <v>4454.32</v>
      </c>
      <c r="H141" s="74">
        <v>7602.1</v>
      </c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</row>
    <row r="142" spans="1:28" ht="12.75" customHeight="1">
      <c r="A142" s="65">
        <v>61</v>
      </c>
      <c r="B142" s="75">
        <v>2292.4699999999998</v>
      </c>
      <c r="C142" s="66">
        <v>3668.39</v>
      </c>
      <c r="D142" s="66">
        <v>3981.41</v>
      </c>
      <c r="E142" s="66">
        <v>5154.07</v>
      </c>
      <c r="F142" s="66">
        <v>4278.8</v>
      </c>
      <c r="G142" s="66">
        <v>4485.54</v>
      </c>
      <c r="H142" s="67">
        <v>7659.31</v>
      </c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</row>
    <row r="143" spans="1:28" ht="12.75" customHeight="1">
      <c r="A143" s="71">
        <v>61.5</v>
      </c>
      <c r="B143" s="72">
        <v>2308.2600000000002</v>
      </c>
      <c r="C143" s="73">
        <v>3693.22</v>
      </c>
      <c r="D143" s="73">
        <v>4014.45</v>
      </c>
      <c r="E143" s="73">
        <v>5199.46</v>
      </c>
      <c r="F143" s="73">
        <v>4309.33</v>
      </c>
      <c r="G143" s="73">
        <v>4516.7700000000004</v>
      </c>
      <c r="H143" s="74">
        <v>7716.53</v>
      </c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</row>
    <row r="144" spans="1:28" ht="12.75" customHeight="1">
      <c r="A144" s="65">
        <v>62</v>
      </c>
      <c r="B144" s="75">
        <v>2324.04</v>
      </c>
      <c r="C144" s="66">
        <v>3718.04</v>
      </c>
      <c r="D144" s="66">
        <v>4047.5</v>
      </c>
      <c r="E144" s="66">
        <v>5244.84</v>
      </c>
      <c r="F144" s="66">
        <v>4339.8500000000004</v>
      </c>
      <c r="G144" s="66">
        <v>4547.99</v>
      </c>
      <c r="H144" s="67">
        <v>7773.74</v>
      </c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</row>
    <row r="145" spans="1:28" ht="12.75" customHeight="1">
      <c r="A145" s="71">
        <v>62.5</v>
      </c>
      <c r="B145" s="72">
        <v>2339.83</v>
      </c>
      <c r="C145" s="73">
        <v>3742.87</v>
      </c>
      <c r="D145" s="73">
        <v>4080.55</v>
      </c>
      <c r="E145" s="73">
        <v>5290.23</v>
      </c>
      <c r="F145" s="73">
        <v>4370.37</v>
      </c>
      <c r="G145" s="73">
        <v>4579.21</v>
      </c>
      <c r="H145" s="74">
        <v>7830.96</v>
      </c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</row>
    <row r="146" spans="1:28" ht="12.75" customHeight="1">
      <c r="A146" s="65">
        <v>63</v>
      </c>
      <c r="B146" s="75">
        <v>2355.61</v>
      </c>
      <c r="C146" s="66">
        <v>3767.7</v>
      </c>
      <c r="D146" s="66">
        <v>4113.59</v>
      </c>
      <c r="E146" s="66">
        <v>5335.62</v>
      </c>
      <c r="F146" s="66">
        <v>4400.8999999999996</v>
      </c>
      <c r="G146" s="66">
        <v>4610.43</v>
      </c>
      <c r="H146" s="67">
        <v>7888.17</v>
      </c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</row>
    <row r="147" spans="1:28" ht="12.75" customHeight="1">
      <c r="A147" s="71">
        <v>63.5</v>
      </c>
      <c r="B147" s="72">
        <v>2371.4</v>
      </c>
      <c r="C147" s="73">
        <v>3792.52</v>
      </c>
      <c r="D147" s="73">
        <v>4146.6400000000003</v>
      </c>
      <c r="E147" s="73">
        <v>5381</v>
      </c>
      <c r="F147" s="73">
        <v>4431.42</v>
      </c>
      <c r="G147" s="73">
        <v>4641.6499999999996</v>
      </c>
      <c r="H147" s="74">
        <v>7945.39</v>
      </c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</row>
    <row r="148" spans="1:28" ht="12.75" customHeight="1">
      <c r="A148" s="65">
        <v>64</v>
      </c>
      <c r="B148" s="75">
        <v>2387.1799999999998</v>
      </c>
      <c r="C148" s="66">
        <v>3817.35</v>
      </c>
      <c r="D148" s="66">
        <v>4179.68</v>
      </c>
      <c r="E148" s="66">
        <v>5426.39</v>
      </c>
      <c r="F148" s="66">
        <v>4461.95</v>
      </c>
      <c r="G148" s="66">
        <v>4672.87</v>
      </c>
      <c r="H148" s="67">
        <v>8002.61</v>
      </c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</row>
    <row r="149" spans="1:28" ht="12.75" customHeight="1">
      <c r="A149" s="71">
        <v>64.5</v>
      </c>
      <c r="B149" s="72">
        <v>2402.9699999999998</v>
      </c>
      <c r="C149" s="73">
        <v>3842.17</v>
      </c>
      <c r="D149" s="73">
        <v>4212.7299999999996</v>
      </c>
      <c r="E149" s="73">
        <v>5471.78</v>
      </c>
      <c r="F149" s="73">
        <v>4492.47</v>
      </c>
      <c r="G149" s="73">
        <v>4704.09</v>
      </c>
      <c r="H149" s="74">
        <v>8059.82</v>
      </c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</row>
    <row r="150" spans="1:28" ht="12.75" customHeight="1">
      <c r="A150" s="65">
        <v>65</v>
      </c>
      <c r="B150" s="75">
        <v>2418.75</v>
      </c>
      <c r="C150" s="66">
        <v>3867</v>
      </c>
      <c r="D150" s="66">
        <v>4245.78</v>
      </c>
      <c r="E150" s="66">
        <v>5517.17</v>
      </c>
      <c r="F150" s="66">
        <v>4523</v>
      </c>
      <c r="G150" s="66">
        <v>4735.32</v>
      </c>
      <c r="H150" s="67">
        <v>8117.04</v>
      </c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</row>
    <row r="151" spans="1:28" ht="12.75" customHeight="1">
      <c r="A151" s="71">
        <v>65.5</v>
      </c>
      <c r="B151" s="72">
        <v>2434.54</v>
      </c>
      <c r="C151" s="73">
        <v>3891.82</v>
      </c>
      <c r="D151" s="73">
        <v>4278.82</v>
      </c>
      <c r="E151" s="73">
        <v>5562.55</v>
      </c>
      <c r="F151" s="73">
        <v>4553.5200000000004</v>
      </c>
      <c r="G151" s="73">
        <v>4766.54</v>
      </c>
      <c r="H151" s="74">
        <v>8174.25</v>
      </c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</row>
    <row r="152" spans="1:28" ht="12.75" customHeight="1">
      <c r="A152" s="65">
        <v>66</v>
      </c>
      <c r="B152" s="75">
        <v>2450.3200000000002</v>
      </c>
      <c r="C152" s="66">
        <v>3916.65</v>
      </c>
      <c r="D152" s="66">
        <v>4311.87</v>
      </c>
      <c r="E152" s="66">
        <v>5607.94</v>
      </c>
      <c r="F152" s="66">
        <v>4584.05</v>
      </c>
      <c r="G152" s="66">
        <v>4797.76</v>
      </c>
      <c r="H152" s="67">
        <v>8231.4699999999993</v>
      </c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</row>
    <row r="153" spans="1:28" ht="12.75" customHeight="1">
      <c r="A153" s="71">
        <v>66.5</v>
      </c>
      <c r="B153" s="72">
        <v>2466.11</v>
      </c>
      <c r="C153" s="73">
        <v>3941.47</v>
      </c>
      <c r="D153" s="73">
        <v>4344.91</v>
      </c>
      <c r="E153" s="73">
        <v>5653.33</v>
      </c>
      <c r="F153" s="73">
        <v>4614.57</v>
      </c>
      <c r="G153" s="73">
        <v>4828.9799999999996</v>
      </c>
      <c r="H153" s="74">
        <v>8288.68</v>
      </c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</row>
    <row r="154" spans="1:28" ht="12.75" customHeight="1">
      <c r="A154" s="65">
        <v>67</v>
      </c>
      <c r="B154" s="75">
        <v>2481.89</v>
      </c>
      <c r="C154" s="66">
        <v>3966.3</v>
      </c>
      <c r="D154" s="66">
        <v>4377.96</v>
      </c>
      <c r="E154" s="66">
        <v>5698.71</v>
      </c>
      <c r="F154" s="66">
        <v>4645.1000000000004</v>
      </c>
      <c r="G154" s="66">
        <v>4860.2</v>
      </c>
      <c r="H154" s="67">
        <v>8345.9</v>
      </c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</row>
    <row r="155" spans="1:28" ht="12.75" customHeight="1">
      <c r="A155" s="71">
        <v>67.5</v>
      </c>
      <c r="B155" s="72">
        <v>2497.6799999999998</v>
      </c>
      <c r="C155" s="73">
        <v>3991.12</v>
      </c>
      <c r="D155" s="73">
        <v>4411.01</v>
      </c>
      <c r="E155" s="73">
        <v>5744.1</v>
      </c>
      <c r="F155" s="73">
        <v>4675.62</v>
      </c>
      <c r="G155" s="73">
        <v>4891.42</v>
      </c>
      <c r="H155" s="74">
        <v>8403.11</v>
      </c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</row>
    <row r="156" spans="1:28" ht="12.75" customHeight="1">
      <c r="A156" s="65">
        <v>68</v>
      </c>
      <c r="B156" s="75">
        <v>2513.46</v>
      </c>
      <c r="C156" s="66">
        <v>4015.95</v>
      </c>
      <c r="D156" s="66">
        <v>4444.05</v>
      </c>
      <c r="E156" s="66">
        <v>5789.49</v>
      </c>
      <c r="F156" s="66">
        <v>4706.1400000000003</v>
      </c>
      <c r="G156" s="66">
        <v>4922.6400000000003</v>
      </c>
      <c r="H156" s="67">
        <v>8460.33</v>
      </c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</row>
    <row r="157" spans="1:28" ht="12.75" customHeight="1">
      <c r="A157" s="71">
        <v>68.5</v>
      </c>
      <c r="B157" s="72">
        <v>2529.25</v>
      </c>
      <c r="C157" s="73">
        <v>4040.78</v>
      </c>
      <c r="D157" s="73">
        <v>4477.1000000000004</v>
      </c>
      <c r="E157" s="73">
        <v>5834.87</v>
      </c>
      <c r="F157" s="73">
        <v>4736.67</v>
      </c>
      <c r="G157" s="73">
        <v>4953.87</v>
      </c>
      <c r="H157" s="74">
        <v>8517.5499999999993</v>
      </c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</row>
    <row r="158" spans="1:28" ht="12.75" customHeight="1">
      <c r="A158" s="65">
        <v>69</v>
      </c>
      <c r="B158" s="75">
        <v>2545.0300000000002</v>
      </c>
      <c r="C158" s="66">
        <v>4065.6</v>
      </c>
      <c r="D158" s="66">
        <v>4510.1400000000003</v>
      </c>
      <c r="E158" s="66">
        <v>5880.26</v>
      </c>
      <c r="F158" s="66">
        <v>4767.1899999999996</v>
      </c>
      <c r="G158" s="66">
        <v>4985.09</v>
      </c>
      <c r="H158" s="67">
        <v>8574.76</v>
      </c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</row>
    <row r="159" spans="1:28" ht="12.75" customHeight="1">
      <c r="A159" s="71">
        <v>69.5</v>
      </c>
      <c r="B159" s="72">
        <v>2560.8200000000002</v>
      </c>
      <c r="C159" s="73">
        <v>4090.43</v>
      </c>
      <c r="D159" s="73">
        <v>4543.1899999999996</v>
      </c>
      <c r="E159" s="73">
        <v>5925.65</v>
      </c>
      <c r="F159" s="73">
        <v>4797.72</v>
      </c>
      <c r="G159" s="73">
        <v>5016.3100000000004</v>
      </c>
      <c r="H159" s="74">
        <v>8631.98</v>
      </c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</row>
    <row r="160" spans="1:28" ht="12.75" customHeight="1">
      <c r="A160" s="65">
        <v>70</v>
      </c>
      <c r="B160" s="75">
        <v>2576.6</v>
      </c>
      <c r="C160" s="66">
        <v>4115.25</v>
      </c>
      <c r="D160" s="66">
        <v>4576.24</v>
      </c>
      <c r="E160" s="66">
        <v>5971.04</v>
      </c>
      <c r="F160" s="66">
        <v>4828.24</v>
      </c>
      <c r="G160" s="66">
        <v>5047.53</v>
      </c>
      <c r="H160" s="67">
        <v>8689.19</v>
      </c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</row>
    <row r="161" spans="1:28" ht="12.75" customHeight="1">
      <c r="A161" s="71">
        <v>70.5</v>
      </c>
      <c r="B161" s="72">
        <v>2592.02</v>
      </c>
      <c r="C161" s="73">
        <v>4140.08</v>
      </c>
      <c r="D161" s="73">
        <v>4609.28</v>
      </c>
      <c r="E161" s="73">
        <v>6016.42</v>
      </c>
      <c r="F161" s="73">
        <v>4857.5200000000004</v>
      </c>
      <c r="G161" s="73">
        <v>5078.75</v>
      </c>
      <c r="H161" s="74">
        <v>8743.25</v>
      </c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</row>
    <row r="162" spans="1:28" ht="12.75" customHeight="1">
      <c r="A162" s="65">
        <v>71</v>
      </c>
      <c r="B162" s="75">
        <v>2607.44</v>
      </c>
      <c r="C162" s="66">
        <v>4164.8999999999996</v>
      </c>
      <c r="D162" s="66">
        <v>4642.33</v>
      </c>
      <c r="E162" s="66">
        <v>6061.81</v>
      </c>
      <c r="F162" s="66">
        <v>4886.79</v>
      </c>
      <c r="G162" s="66">
        <v>5109.97</v>
      </c>
      <c r="H162" s="67">
        <v>8797.31</v>
      </c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</row>
    <row r="163" spans="1:28" ht="12.75" customHeight="1">
      <c r="A163" s="71">
        <v>71.5</v>
      </c>
      <c r="B163" s="72">
        <v>2622.85</v>
      </c>
      <c r="C163" s="73">
        <v>4189.7299999999996</v>
      </c>
      <c r="D163" s="73">
        <v>4675.37</v>
      </c>
      <c r="E163" s="73">
        <v>6107.2</v>
      </c>
      <c r="F163" s="73">
        <v>4916.0600000000004</v>
      </c>
      <c r="G163" s="73">
        <v>5141.2</v>
      </c>
      <c r="H163" s="74">
        <v>8851.3700000000008</v>
      </c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</row>
    <row r="164" spans="1:28" ht="12.75" customHeight="1">
      <c r="A164" s="65">
        <v>72</v>
      </c>
      <c r="B164" s="75">
        <v>2638.27</v>
      </c>
      <c r="C164" s="66">
        <v>4214.55</v>
      </c>
      <c r="D164" s="66">
        <v>4708.42</v>
      </c>
      <c r="E164" s="66">
        <v>6152.58</v>
      </c>
      <c r="F164" s="66">
        <v>4945.34</v>
      </c>
      <c r="G164" s="66">
        <v>5172.42</v>
      </c>
      <c r="H164" s="67">
        <v>8905.43</v>
      </c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</row>
    <row r="165" spans="1:28" ht="12.75" customHeight="1">
      <c r="A165" s="71">
        <v>72.5</v>
      </c>
      <c r="B165" s="72">
        <v>2653.68</v>
      </c>
      <c r="C165" s="73">
        <v>4239.38</v>
      </c>
      <c r="D165" s="73">
        <v>4741.47</v>
      </c>
      <c r="E165" s="73">
        <v>6197.97</v>
      </c>
      <c r="F165" s="73">
        <v>4974.6099999999997</v>
      </c>
      <c r="G165" s="73">
        <v>5203.6400000000003</v>
      </c>
      <c r="H165" s="74">
        <v>8959.48</v>
      </c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</row>
    <row r="166" spans="1:28" ht="12.75" customHeight="1">
      <c r="A166" s="65">
        <v>73</v>
      </c>
      <c r="B166" s="75">
        <v>2669.1</v>
      </c>
      <c r="C166" s="66">
        <v>4264.21</v>
      </c>
      <c r="D166" s="66">
        <v>4774.51</v>
      </c>
      <c r="E166" s="66">
        <v>6243.36</v>
      </c>
      <c r="F166" s="66">
        <v>5003.8900000000003</v>
      </c>
      <c r="G166" s="66">
        <v>5234.8599999999997</v>
      </c>
      <c r="H166" s="67">
        <v>9013.5400000000009</v>
      </c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</row>
    <row r="167" spans="1:28" ht="12.75" customHeight="1">
      <c r="A167" s="71">
        <v>73.5</v>
      </c>
      <c r="B167" s="72">
        <v>2684.52</v>
      </c>
      <c r="C167" s="73">
        <v>4289.03</v>
      </c>
      <c r="D167" s="73">
        <v>4807.5600000000004</v>
      </c>
      <c r="E167" s="73">
        <v>6288.74</v>
      </c>
      <c r="F167" s="73">
        <v>5033.16</v>
      </c>
      <c r="G167" s="73">
        <v>5266.08</v>
      </c>
      <c r="H167" s="74">
        <v>9067.6</v>
      </c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</row>
    <row r="168" spans="1:28" ht="12.75" customHeight="1">
      <c r="A168" s="65">
        <v>74</v>
      </c>
      <c r="B168" s="75">
        <v>2699.93</v>
      </c>
      <c r="C168" s="66">
        <v>4313.8599999999997</v>
      </c>
      <c r="D168" s="66">
        <v>4840.6000000000004</v>
      </c>
      <c r="E168" s="66">
        <v>6334.13</v>
      </c>
      <c r="F168" s="66">
        <v>5062.43</v>
      </c>
      <c r="G168" s="66">
        <v>5297.3</v>
      </c>
      <c r="H168" s="67">
        <v>9121.66</v>
      </c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</row>
    <row r="169" spans="1:28" ht="12.75" customHeight="1">
      <c r="A169" s="71">
        <v>74.5</v>
      </c>
      <c r="B169" s="72">
        <v>2715.35</v>
      </c>
      <c r="C169" s="73">
        <v>4338.68</v>
      </c>
      <c r="D169" s="73">
        <v>4873.6499999999996</v>
      </c>
      <c r="E169" s="73">
        <v>6379.52</v>
      </c>
      <c r="F169" s="73">
        <v>5091.71</v>
      </c>
      <c r="G169" s="73">
        <v>5328.52</v>
      </c>
      <c r="H169" s="74">
        <v>9175.7199999999993</v>
      </c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</row>
    <row r="170" spans="1:28" ht="12.75" customHeight="1">
      <c r="A170" s="65">
        <v>75</v>
      </c>
      <c r="B170" s="75">
        <v>2730.76</v>
      </c>
      <c r="C170" s="66">
        <v>4363.51</v>
      </c>
      <c r="D170" s="66">
        <v>4906.7</v>
      </c>
      <c r="E170" s="66">
        <v>6424.91</v>
      </c>
      <c r="F170" s="66">
        <v>5120.9799999999996</v>
      </c>
      <c r="G170" s="66">
        <v>5359.75</v>
      </c>
      <c r="H170" s="67">
        <v>9229.7800000000007</v>
      </c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</row>
    <row r="171" spans="1:28" ht="12.75" customHeight="1">
      <c r="A171" s="71">
        <v>75.5</v>
      </c>
      <c r="B171" s="72">
        <v>2746.18</v>
      </c>
      <c r="C171" s="73">
        <v>4388.33</v>
      </c>
      <c r="D171" s="73">
        <v>4939.74</v>
      </c>
      <c r="E171" s="73">
        <v>6470.29</v>
      </c>
      <c r="F171" s="73">
        <v>5150.26</v>
      </c>
      <c r="G171" s="73">
        <v>5390.97</v>
      </c>
      <c r="H171" s="74">
        <v>9283.84</v>
      </c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</row>
    <row r="172" spans="1:28" ht="12.75" customHeight="1">
      <c r="A172" s="65">
        <v>76</v>
      </c>
      <c r="B172" s="75">
        <v>2761.6</v>
      </c>
      <c r="C172" s="66">
        <v>4413.16</v>
      </c>
      <c r="D172" s="66">
        <v>4972.79</v>
      </c>
      <c r="E172" s="66">
        <v>6515.68</v>
      </c>
      <c r="F172" s="66">
        <v>5179.53</v>
      </c>
      <c r="G172" s="66">
        <v>5422.19</v>
      </c>
      <c r="H172" s="67">
        <v>9337.89</v>
      </c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</row>
    <row r="173" spans="1:28" ht="12.75" customHeight="1">
      <c r="A173" s="71">
        <v>76.5</v>
      </c>
      <c r="B173" s="72">
        <v>2777.01</v>
      </c>
      <c r="C173" s="73">
        <v>4437.9799999999996</v>
      </c>
      <c r="D173" s="73">
        <v>5005.83</v>
      </c>
      <c r="E173" s="73">
        <v>6561.07</v>
      </c>
      <c r="F173" s="73">
        <v>5208.8</v>
      </c>
      <c r="G173" s="73">
        <v>5453.41</v>
      </c>
      <c r="H173" s="74">
        <v>9391.9500000000007</v>
      </c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</row>
    <row r="174" spans="1:28" ht="12.75" customHeight="1">
      <c r="A174" s="65">
        <v>77</v>
      </c>
      <c r="B174" s="75">
        <v>2792.43</v>
      </c>
      <c r="C174" s="66">
        <v>4462.8100000000004</v>
      </c>
      <c r="D174" s="66">
        <v>5038.88</v>
      </c>
      <c r="E174" s="66">
        <v>6606.45</v>
      </c>
      <c r="F174" s="66">
        <v>5238.08</v>
      </c>
      <c r="G174" s="66">
        <v>5484.63</v>
      </c>
      <c r="H174" s="67">
        <v>9446.01</v>
      </c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</row>
    <row r="175" spans="1:28" ht="12.75" customHeight="1">
      <c r="A175" s="71">
        <v>77.5</v>
      </c>
      <c r="B175" s="72">
        <v>2807.84</v>
      </c>
      <c r="C175" s="73">
        <v>4487.63</v>
      </c>
      <c r="D175" s="73">
        <v>5071.93</v>
      </c>
      <c r="E175" s="73">
        <v>6651.84</v>
      </c>
      <c r="F175" s="73">
        <v>5267.35</v>
      </c>
      <c r="G175" s="73">
        <v>5515.85</v>
      </c>
      <c r="H175" s="74">
        <v>9500.07</v>
      </c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</row>
    <row r="176" spans="1:28" ht="12.75" customHeight="1">
      <c r="A176" s="65">
        <v>78</v>
      </c>
      <c r="B176" s="75">
        <v>2823.26</v>
      </c>
      <c r="C176" s="66">
        <v>4512.46</v>
      </c>
      <c r="D176" s="66">
        <v>5104.97</v>
      </c>
      <c r="E176" s="66">
        <v>6697.23</v>
      </c>
      <c r="F176" s="66">
        <v>5296.63</v>
      </c>
      <c r="G176" s="66">
        <v>5547.07</v>
      </c>
      <c r="H176" s="67">
        <v>9554.1299999999992</v>
      </c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</row>
    <row r="177" spans="1:28" ht="12.75" customHeight="1">
      <c r="A177" s="71">
        <v>78.5</v>
      </c>
      <c r="B177" s="72">
        <v>2838.68</v>
      </c>
      <c r="C177" s="73">
        <v>4537.29</v>
      </c>
      <c r="D177" s="73">
        <v>5138.0200000000004</v>
      </c>
      <c r="E177" s="73">
        <v>6742.61</v>
      </c>
      <c r="F177" s="73">
        <v>5325.9</v>
      </c>
      <c r="G177" s="73">
        <v>5578.3</v>
      </c>
      <c r="H177" s="74">
        <v>9608.19</v>
      </c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</row>
    <row r="178" spans="1:28" ht="12.75" customHeight="1">
      <c r="A178" s="65">
        <v>79</v>
      </c>
      <c r="B178" s="75">
        <v>2854.09</v>
      </c>
      <c r="C178" s="66">
        <v>4562.1099999999997</v>
      </c>
      <c r="D178" s="66">
        <v>5171.0600000000004</v>
      </c>
      <c r="E178" s="66">
        <v>6788</v>
      </c>
      <c r="F178" s="66">
        <v>5355.17</v>
      </c>
      <c r="G178" s="66">
        <v>5609.52</v>
      </c>
      <c r="H178" s="67">
        <v>9662.24</v>
      </c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</row>
    <row r="179" spans="1:28" ht="12.75" customHeight="1">
      <c r="A179" s="71">
        <v>79.5</v>
      </c>
      <c r="B179" s="72">
        <v>2869.51</v>
      </c>
      <c r="C179" s="73">
        <v>4586.9399999999996</v>
      </c>
      <c r="D179" s="73">
        <v>5204.1099999999997</v>
      </c>
      <c r="E179" s="73">
        <v>6833.39</v>
      </c>
      <c r="F179" s="73">
        <v>5384.45</v>
      </c>
      <c r="G179" s="73">
        <v>5640.74</v>
      </c>
      <c r="H179" s="74">
        <v>9716.2999999999993</v>
      </c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</row>
    <row r="180" spans="1:28" ht="12.75" customHeight="1">
      <c r="A180" s="65">
        <v>80</v>
      </c>
      <c r="B180" s="75">
        <v>2884.92</v>
      </c>
      <c r="C180" s="66">
        <v>4611.76</v>
      </c>
      <c r="D180" s="66">
        <v>5237.16</v>
      </c>
      <c r="E180" s="66">
        <v>6878.78</v>
      </c>
      <c r="F180" s="66">
        <v>5413.72</v>
      </c>
      <c r="G180" s="66">
        <v>5671.96</v>
      </c>
      <c r="H180" s="67">
        <v>9770.36</v>
      </c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</row>
    <row r="181" spans="1:28" ht="12.75" customHeight="1">
      <c r="A181" s="71">
        <v>80.5</v>
      </c>
      <c r="B181" s="72">
        <v>2900.34</v>
      </c>
      <c r="C181" s="73">
        <v>4636.59</v>
      </c>
      <c r="D181" s="73">
        <v>5270.2</v>
      </c>
      <c r="E181" s="73">
        <v>6924.16</v>
      </c>
      <c r="F181" s="73">
        <v>5443</v>
      </c>
      <c r="G181" s="73">
        <v>5703.18</v>
      </c>
      <c r="H181" s="74">
        <v>9824.42</v>
      </c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</row>
    <row r="182" spans="1:28" ht="12.75" customHeight="1">
      <c r="A182" s="65">
        <v>81</v>
      </c>
      <c r="B182" s="75">
        <v>2915.76</v>
      </c>
      <c r="C182" s="66">
        <v>4661.41</v>
      </c>
      <c r="D182" s="66">
        <v>5303.25</v>
      </c>
      <c r="E182" s="66">
        <v>6969.55</v>
      </c>
      <c r="F182" s="66">
        <v>5472.27</v>
      </c>
      <c r="G182" s="66">
        <v>5734.4</v>
      </c>
      <c r="H182" s="67">
        <v>9878.48</v>
      </c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</row>
    <row r="183" spans="1:28" ht="12.75" customHeight="1">
      <c r="A183" s="71">
        <v>81.5</v>
      </c>
      <c r="B183" s="72">
        <v>2931.17</v>
      </c>
      <c r="C183" s="73">
        <v>4686.24</v>
      </c>
      <c r="D183" s="73">
        <v>5336.29</v>
      </c>
      <c r="E183" s="73">
        <v>7014.94</v>
      </c>
      <c r="F183" s="73">
        <v>5501.54</v>
      </c>
      <c r="G183" s="73">
        <v>5765.63</v>
      </c>
      <c r="H183" s="74">
        <v>9932.5400000000009</v>
      </c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</row>
    <row r="184" spans="1:28" ht="12.75" customHeight="1">
      <c r="A184" s="65">
        <v>82</v>
      </c>
      <c r="B184" s="75">
        <v>2946.59</v>
      </c>
      <c r="C184" s="66">
        <v>4711.0600000000004</v>
      </c>
      <c r="D184" s="66">
        <v>5369.34</v>
      </c>
      <c r="E184" s="66">
        <v>7060.32</v>
      </c>
      <c r="F184" s="66">
        <v>5530.82</v>
      </c>
      <c r="G184" s="66">
        <v>5796.85</v>
      </c>
      <c r="H184" s="67">
        <v>9986.6</v>
      </c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</row>
    <row r="185" spans="1:28" ht="12.75" customHeight="1">
      <c r="A185" s="71">
        <v>82.5</v>
      </c>
      <c r="B185" s="72">
        <v>2962</v>
      </c>
      <c r="C185" s="73">
        <v>4735.8900000000003</v>
      </c>
      <c r="D185" s="73">
        <v>5402.39</v>
      </c>
      <c r="E185" s="73">
        <v>7105.71</v>
      </c>
      <c r="F185" s="73">
        <v>5560.09</v>
      </c>
      <c r="G185" s="73">
        <v>5828.07</v>
      </c>
      <c r="H185" s="74">
        <v>10040.65</v>
      </c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</row>
    <row r="186" spans="1:28" ht="12.75" customHeight="1">
      <c r="A186" s="65">
        <v>83</v>
      </c>
      <c r="B186" s="75">
        <v>2977.42</v>
      </c>
      <c r="C186" s="66">
        <v>4760.72</v>
      </c>
      <c r="D186" s="66">
        <v>5435.43</v>
      </c>
      <c r="E186" s="66">
        <v>7151.1</v>
      </c>
      <c r="F186" s="66">
        <v>5589.37</v>
      </c>
      <c r="G186" s="66">
        <v>5859.29</v>
      </c>
      <c r="H186" s="67">
        <v>10094.709999999999</v>
      </c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</row>
    <row r="187" spans="1:28" ht="12.75" customHeight="1">
      <c r="A187" s="71">
        <v>83.5</v>
      </c>
      <c r="B187" s="72">
        <v>2992.84</v>
      </c>
      <c r="C187" s="73">
        <v>4785.54</v>
      </c>
      <c r="D187" s="73">
        <v>5468.48</v>
      </c>
      <c r="E187" s="73">
        <v>7196.48</v>
      </c>
      <c r="F187" s="73">
        <v>5618.64</v>
      </c>
      <c r="G187" s="73">
        <v>5890.51</v>
      </c>
      <c r="H187" s="74">
        <v>10148.77</v>
      </c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</row>
    <row r="188" spans="1:28" ht="12.75" customHeight="1">
      <c r="A188" s="65">
        <v>84</v>
      </c>
      <c r="B188" s="75">
        <v>3008.25</v>
      </c>
      <c r="C188" s="66">
        <v>4810.37</v>
      </c>
      <c r="D188" s="66">
        <v>5501.52</v>
      </c>
      <c r="E188" s="66">
        <v>7241.87</v>
      </c>
      <c r="F188" s="66">
        <v>5647.91</v>
      </c>
      <c r="G188" s="66">
        <v>5921.73</v>
      </c>
      <c r="H188" s="67">
        <v>10202.83</v>
      </c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</row>
    <row r="189" spans="1:28" ht="12.75" customHeight="1">
      <c r="A189" s="71">
        <v>84.5</v>
      </c>
      <c r="B189" s="72">
        <v>3023.67</v>
      </c>
      <c r="C189" s="73">
        <v>4835.1899999999996</v>
      </c>
      <c r="D189" s="73">
        <v>5534.57</v>
      </c>
      <c r="E189" s="73">
        <v>7287.26</v>
      </c>
      <c r="F189" s="73">
        <v>5677.19</v>
      </c>
      <c r="G189" s="73">
        <v>5952.95</v>
      </c>
      <c r="H189" s="74">
        <v>10256.89</v>
      </c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</row>
    <row r="190" spans="1:28" ht="12.75" customHeight="1">
      <c r="A190" s="65">
        <v>85</v>
      </c>
      <c r="B190" s="75">
        <v>3039.08</v>
      </c>
      <c r="C190" s="66">
        <v>4860.0200000000004</v>
      </c>
      <c r="D190" s="66">
        <v>5567.62</v>
      </c>
      <c r="E190" s="66">
        <v>7332.65</v>
      </c>
      <c r="F190" s="66">
        <v>5706.46</v>
      </c>
      <c r="G190" s="66">
        <v>5984.18</v>
      </c>
      <c r="H190" s="67">
        <v>10310.950000000001</v>
      </c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</row>
    <row r="191" spans="1:28" ht="12.75" customHeight="1">
      <c r="A191" s="71">
        <v>85.5</v>
      </c>
      <c r="B191" s="72">
        <v>3054.5</v>
      </c>
      <c r="C191" s="73">
        <v>4884.84</v>
      </c>
      <c r="D191" s="73">
        <v>5600.66</v>
      </c>
      <c r="E191" s="73">
        <v>7378.03</v>
      </c>
      <c r="F191" s="73">
        <v>5735.74</v>
      </c>
      <c r="G191" s="73">
        <v>6015.4</v>
      </c>
      <c r="H191" s="74">
        <v>10365.01</v>
      </c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</row>
    <row r="192" spans="1:28" ht="12.75" customHeight="1">
      <c r="A192" s="65">
        <v>86</v>
      </c>
      <c r="B192" s="75">
        <v>3069.92</v>
      </c>
      <c r="C192" s="66">
        <v>4909.67</v>
      </c>
      <c r="D192" s="66">
        <v>5633.71</v>
      </c>
      <c r="E192" s="66">
        <v>7423.42</v>
      </c>
      <c r="F192" s="66">
        <v>5765.01</v>
      </c>
      <c r="G192" s="66">
        <v>6046.62</v>
      </c>
      <c r="H192" s="67">
        <v>10419.06</v>
      </c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</row>
    <row r="193" spans="1:28" ht="12.75" customHeight="1">
      <c r="A193" s="71">
        <v>86.5</v>
      </c>
      <c r="B193" s="72">
        <v>3085.33</v>
      </c>
      <c r="C193" s="73">
        <v>4934.49</v>
      </c>
      <c r="D193" s="73">
        <v>5666.75</v>
      </c>
      <c r="E193" s="73">
        <v>7468.81</v>
      </c>
      <c r="F193" s="73">
        <v>5794.28</v>
      </c>
      <c r="G193" s="73">
        <v>6077.84</v>
      </c>
      <c r="H193" s="74">
        <v>10473.120000000001</v>
      </c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</row>
    <row r="194" spans="1:28" ht="12.75" customHeight="1">
      <c r="A194" s="65">
        <v>87</v>
      </c>
      <c r="B194" s="75">
        <v>3100.75</v>
      </c>
      <c r="C194" s="66">
        <v>4959.32</v>
      </c>
      <c r="D194" s="66">
        <v>5699.8</v>
      </c>
      <c r="E194" s="66">
        <v>7514.19</v>
      </c>
      <c r="F194" s="66">
        <v>5823.56</v>
      </c>
      <c r="G194" s="66">
        <v>6109.06</v>
      </c>
      <c r="H194" s="67">
        <v>10527.18</v>
      </c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</row>
    <row r="195" spans="1:28" ht="12.75" customHeight="1">
      <c r="A195" s="71">
        <v>87.5</v>
      </c>
      <c r="B195" s="72">
        <v>3116.16</v>
      </c>
      <c r="C195" s="73">
        <v>4984.1400000000003</v>
      </c>
      <c r="D195" s="73">
        <v>5732.85</v>
      </c>
      <c r="E195" s="73">
        <v>7559.58</v>
      </c>
      <c r="F195" s="73">
        <v>5852.83</v>
      </c>
      <c r="G195" s="73">
        <v>6140.28</v>
      </c>
      <c r="H195" s="74">
        <v>10581.24</v>
      </c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</row>
    <row r="196" spans="1:28" ht="12.75" customHeight="1">
      <c r="A196" s="65">
        <v>88</v>
      </c>
      <c r="B196" s="75">
        <v>3131.58</v>
      </c>
      <c r="C196" s="66">
        <v>5008.97</v>
      </c>
      <c r="D196" s="66">
        <v>5765.89</v>
      </c>
      <c r="E196" s="66">
        <v>7604.97</v>
      </c>
      <c r="F196" s="66">
        <v>5882.11</v>
      </c>
      <c r="G196" s="66">
        <v>6171.5</v>
      </c>
      <c r="H196" s="67">
        <v>10635.3</v>
      </c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</row>
    <row r="197" spans="1:28" ht="12.75" customHeight="1">
      <c r="A197" s="71">
        <v>88.5</v>
      </c>
      <c r="B197" s="72">
        <v>3147</v>
      </c>
      <c r="C197" s="73">
        <v>5033.8</v>
      </c>
      <c r="D197" s="73">
        <v>5798.94</v>
      </c>
      <c r="E197" s="73">
        <v>7650.35</v>
      </c>
      <c r="F197" s="73">
        <v>5911.38</v>
      </c>
      <c r="G197" s="73">
        <v>6202.73</v>
      </c>
      <c r="H197" s="74">
        <v>10689.36</v>
      </c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</row>
    <row r="198" spans="1:28" ht="12.75" customHeight="1">
      <c r="A198" s="65">
        <v>89</v>
      </c>
      <c r="B198" s="75">
        <v>3162.41</v>
      </c>
      <c r="C198" s="66">
        <v>5058.62</v>
      </c>
      <c r="D198" s="66">
        <v>5831.98</v>
      </c>
      <c r="E198" s="66">
        <v>7695.74</v>
      </c>
      <c r="F198" s="66">
        <v>5940.65</v>
      </c>
      <c r="G198" s="66">
        <v>6233.95</v>
      </c>
      <c r="H198" s="67">
        <v>10743.41</v>
      </c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</row>
    <row r="199" spans="1:28" ht="12.75" customHeight="1">
      <c r="A199" s="71">
        <v>89.5</v>
      </c>
      <c r="B199" s="72">
        <v>3177.83</v>
      </c>
      <c r="C199" s="73">
        <v>5083.45</v>
      </c>
      <c r="D199" s="73">
        <v>5865.03</v>
      </c>
      <c r="E199" s="73">
        <v>7741.13</v>
      </c>
      <c r="F199" s="73">
        <v>5969.93</v>
      </c>
      <c r="G199" s="73">
        <v>6265.17</v>
      </c>
      <c r="H199" s="74">
        <v>10797.47</v>
      </c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</row>
    <row r="200" spans="1:28" ht="12.75" customHeight="1">
      <c r="A200" s="65">
        <v>90</v>
      </c>
      <c r="B200" s="75">
        <v>3193.24</v>
      </c>
      <c r="C200" s="66">
        <v>5108.2700000000004</v>
      </c>
      <c r="D200" s="66">
        <v>5898.08</v>
      </c>
      <c r="E200" s="66">
        <v>7786.52</v>
      </c>
      <c r="F200" s="66">
        <v>5999.2</v>
      </c>
      <c r="G200" s="66">
        <v>6296.39</v>
      </c>
      <c r="H200" s="67">
        <v>10851.53</v>
      </c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</row>
    <row r="201" spans="1:28" ht="12.75" customHeight="1">
      <c r="A201" s="71">
        <v>90.5</v>
      </c>
      <c r="B201" s="72">
        <v>3208.66</v>
      </c>
      <c r="C201" s="73">
        <v>5133.1000000000004</v>
      </c>
      <c r="D201" s="73">
        <v>5931.12</v>
      </c>
      <c r="E201" s="73">
        <v>7831.9</v>
      </c>
      <c r="F201" s="73">
        <v>6028.48</v>
      </c>
      <c r="G201" s="73">
        <v>6327.61</v>
      </c>
      <c r="H201" s="74">
        <v>10905.59</v>
      </c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</row>
    <row r="202" spans="1:28" ht="12.75" customHeight="1">
      <c r="A202" s="65">
        <v>91</v>
      </c>
      <c r="B202" s="75">
        <v>3224.08</v>
      </c>
      <c r="C202" s="66">
        <v>5157.92</v>
      </c>
      <c r="D202" s="66">
        <v>5964.17</v>
      </c>
      <c r="E202" s="66">
        <v>7877.29</v>
      </c>
      <c r="F202" s="66">
        <v>6057.75</v>
      </c>
      <c r="G202" s="66">
        <v>6358.83</v>
      </c>
      <c r="H202" s="67">
        <v>10959.65</v>
      </c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</row>
    <row r="203" spans="1:28" ht="12.75" customHeight="1">
      <c r="A203" s="71">
        <v>91.5</v>
      </c>
      <c r="B203" s="72">
        <v>3239.49</v>
      </c>
      <c r="C203" s="73">
        <v>5182.75</v>
      </c>
      <c r="D203" s="73">
        <v>5997.21</v>
      </c>
      <c r="E203" s="73">
        <v>7922.68</v>
      </c>
      <c r="F203" s="73">
        <v>6087.02</v>
      </c>
      <c r="G203" s="73">
        <v>6390.06</v>
      </c>
      <c r="H203" s="74">
        <v>11013.71</v>
      </c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</row>
    <row r="204" spans="1:28" ht="12.75" customHeight="1">
      <c r="A204" s="65">
        <v>92</v>
      </c>
      <c r="B204" s="75">
        <v>3254.91</v>
      </c>
      <c r="C204" s="66">
        <v>5207.57</v>
      </c>
      <c r="D204" s="66">
        <v>6030.26</v>
      </c>
      <c r="E204" s="66">
        <v>7968.06</v>
      </c>
      <c r="F204" s="66">
        <v>6116.3</v>
      </c>
      <c r="G204" s="66">
        <v>6421.28</v>
      </c>
      <c r="H204" s="67">
        <v>11067.77</v>
      </c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</row>
    <row r="205" spans="1:28" ht="12.75" customHeight="1">
      <c r="A205" s="71">
        <v>92.5</v>
      </c>
      <c r="B205" s="72">
        <v>3270.32</v>
      </c>
      <c r="C205" s="73">
        <v>5232.3999999999996</v>
      </c>
      <c r="D205" s="73">
        <v>6063.31</v>
      </c>
      <c r="E205" s="73">
        <v>8013.45</v>
      </c>
      <c r="F205" s="73">
        <v>6145.57</v>
      </c>
      <c r="G205" s="73">
        <v>6452.5</v>
      </c>
      <c r="H205" s="74">
        <v>11121.82</v>
      </c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</row>
    <row r="206" spans="1:28" ht="12.75" customHeight="1">
      <c r="A206" s="65">
        <v>93</v>
      </c>
      <c r="B206" s="75">
        <v>3285.74</v>
      </c>
      <c r="C206" s="66">
        <v>5257.23</v>
      </c>
      <c r="D206" s="66">
        <v>6096.35</v>
      </c>
      <c r="E206" s="66">
        <v>8058.84</v>
      </c>
      <c r="F206" s="66">
        <v>6174.85</v>
      </c>
      <c r="G206" s="66">
        <v>6483.72</v>
      </c>
      <c r="H206" s="67">
        <v>11175.88</v>
      </c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</row>
    <row r="207" spans="1:28" ht="12.75" customHeight="1">
      <c r="A207" s="71">
        <v>93.5</v>
      </c>
      <c r="B207" s="72">
        <v>3301.16</v>
      </c>
      <c r="C207" s="73">
        <v>5282.05</v>
      </c>
      <c r="D207" s="73">
        <v>6129.4</v>
      </c>
      <c r="E207" s="73">
        <v>8104.22</v>
      </c>
      <c r="F207" s="73">
        <v>6204.12</v>
      </c>
      <c r="G207" s="73">
        <v>6514.94</v>
      </c>
      <c r="H207" s="74">
        <v>11229.94</v>
      </c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</row>
    <row r="208" spans="1:28" ht="12.75" customHeight="1">
      <c r="A208" s="65">
        <v>94</v>
      </c>
      <c r="B208" s="75">
        <v>3316.57</v>
      </c>
      <c r="C208" s="66">
        <v>5306.88</v>
      </c>
      <c r="D208" s="66">
        <v>6162.44</v>
      </c>
      <c r="E208" s="66">
        <v>8149.61</v>
      </c>
      <c r="F208" s="66">
        <v>6233.39</v>
      </c>
      <c r="G208" s="66">
        <v>6546.16</v>
      </c>
      <c r="H208" s="67">
        <v>11284</v>
      </c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</row>
    <row r="209" spans="1:28" ht="12.75" customHeight="1">
      <c r="A209" s="71">
        <v>94.5</v>
      </c>
      <c r="B209" s="72">
        <v>3331.99</v>
      </c>
      <c r="C209" s="73">
        <v>5331.7</v>
      </c>
      <c r="D209" s="73">
        <v>6195.49</v>
      </c>
      <c r="E209" s="73">
        <v>8195</v>
      </c>
      <c r="F209" s="73">
        <v>6262.67</v>
      </c>
      <c r="G209" s="73">
        <v>6577.38</v>
      </c>
      <c r="H209" s="74">
        <v>11338.06</v>
      </c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</row>
    <row r="210" spans="1:28" ht="12.75" customHeight="1">
      <c r="A210" s="65">
        <v>95</v>
      </c>
      <c r="B210" s="75">
        <v>3347.4</v>
      </c>
      <c r="C210" s="66">
        <v>5356.53</v>
      </c>
      <c r="D210" s="66">
        <v>6228.54</v>
      </c>
      <c r="E210" s="66">
        <v>8240.39</v>
      </c>
      <c r="F210" s="66">
        <v>6291.94</v>
      </c>
      <c r="G210" s="66">
        <v>6608.61</v>
      </c>
      <c r="H210" s="67">
        <v>11392.12</v>
      </c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</row>
    <row r="211" spans="1:28" ht="12.75" customHeight="1">
      <c r="A211" s="71">
        <v>95.5</v>
      </c>
      <c r="B211" s="72">
        <v>3362.82</v>
      </c>
      <c r="C211" s="73">
        <v>5381.35</v>
      </c>
      <c r="D211" s="73">
        <v>6261.58</v>
      </c>
      <c r="E211" s="73">
        <v>8285.77</v>
      </c>
      <c r="F211" s="73">
        <v>6321.22</v>
      </c>
      <c r="G211" s="73">
        <v>6639.83</v>
      </c>
      <c r="H211" s="74">
        <v>11446.18</v>
      </c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</row>
    <row r="212" spans="1:28" ht="12.75" customHeight="1">
      <c r="A212" s="65">
        <v>96</v>
      </c>
      <c r="B212" s="75">
        <v>3378.24</v>
      </c>
      <c r="C212" s="66">
        <v>5406.18</v>
      </c>
      <c r="D212" s="66">
        <v>6294.63</v>
      </c>
      <c r="E212" s="66">
        <v>8331.16</v>
      </c>
      <c r="F212" s="66">
        <v>6350.49</v>
      </c>
      <c r="G212" s="66">
        <v>6671.05</v>
      </c>
      <c r="H212" s="67">
        <v>11500.23</v>
      </c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</row>
    <row r="213" spans="1:28" ht="12.75" customHeight="1">
      <c r="A213" s="71">
        <v>96.5</v>
      </c>
      <c r="B213" s="72">
        <v>3393.65</v>
      </c>
      <c r="C213" s="73">
        <v>5431</v>
      </c>
      <c r="D213" s="73">
        <v>6327.67</v>
      </c>
      <c r="E213" s="73">
        <v>8376.5499999999993</v>
      </c>
      <c r="F213" s="73">
        <v>6379.76</v>
      </c>
      <c r="G213" s="73">
        <v>6702.27</v>
      </c>
      <c r="H213" s="74">
        <v>11554.29</v>
      </c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</row>
    <row r="214" spans="1:28" ht="12.75" customHeight="1">
      <c r="A214" s="65">
        <v>97</v>
      </c>
      <c r="B214" s="75">
        <v>3409.07</v>
      </c>
      <c r="C214" s="66">
        <v>5455.83</v>
      </c>
      <c r="D214" s="66">
        <v>6360.72</v>
      </c>
      <c r="E214" s="66">
        <v>8421.93</v>
      </c>
      <c r="F214" s="66">
        <v>6409.04</v>
      </c>
      <c r="G214" s="66">
        <v>6733.49</v>
      </c>
      <c r="H214" s="67">
        <v>11608.35</v>
      </c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</row>
    <row r="215" spans="1:28" ht="12.75" customHeight="1">
      <c r="A215" s="71">
        <v>97.5</v>
      </c>
      <c r="B215" s="72">
        <v>3424.48</v>
      </c>
      <c r="C215" s="73">
        <v>5480.65</v>
      </c>
      <c r="D215" s="73">
        <v>6393.77</v>
      </c>
      <c r="E215" s="73">
        <v>8467.32</v>
      </c>
      <c r="F215" s="73">
        <v>6438.31</v>
      </c>
      <c r="G215" s="73">
        <v>6764.71</v>
      </c>
      <c r="H215" s="74">
        <v>11662.41</v>
      </c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</row>
    <row r="216" spans="1:28" ht="12.75" customHeight="1">
      <c r="A216" s="65">
        <v>98</v>
      </c>
      <c r="B216" s="75">
        <v>3439.9</v>
      </c>
      <c r="C216" s="66">
        <v>5505.48</v>
      </c>
      <c r="D216" s="66">
        <v>6426.81</v>
      </c>
      <c r="E216" s="66">
        <v>8512.7099999999991</v>
      </c>
      <c r="F216" s="66">
        <v>6467.59</v>
      </c>
      <c r="G216" s="66">
        <v>6795.93</v>
      </c>
      <c r="H216" s="67">
        <v>11716.47</v>
      </c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</row>
    <row r="217" spans="1:28" ht="12.75" customHeight="1">
      <c r="A217" s="71">
        <v>98.5</v>
      </c>
      <c r="B217" s="72">
        <v>3455.32</v>
      </c>
      <c r="C217" s="73">
        <v>5530.31</v>
      </c>
      <c r="D217" s="73">
        <v>6459.86</v>
      </c>
      <c r="E217" s="73">
        <v>8558.09</v>
      </c>
      <c r="F217" s="73">
        <v>6496.86</v>
      </c>
      <c r="G217" s="73">
        <v>6827.16</v>
      </c>
      <c r="H217" s="74">
        <v>11770.53</v>
      </c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</row>
    <row r="218" spans="1:28" ht="12.75" customHeight="1">
      <c r="A218" s="65">
        <v>99</v>
      </c>
      <c r="B218" s="75">
        <v>3470.73</v>
      </c>
      <c r="C218" s="66">
        <v>5555.13</v>
      </c>
      <c r="D218" s="66">
        <v>6492.9</v>
      </c>
      <c r="E218" s="66">
        <v>8603.48</v>
      </c>
      <c r="F218" s="66">
        <v>6526.13</v>
      </c>
      <c r="G218" s="66">
        <v>6858.38</v>
      </c>
      <c r="H218" s="67">
        <v>11824.58</v>
      </c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</row>
    <row r="219" spans="1:28" ht="12.75" customHeight="1">
      <c r="A219" s="71">
        <v>99.5</v>
      </c>
      <c r="B219" s="72">
        <v>3486.15</v>
      </c>
      <c r="C219" s="73">
        <v>5579.96</v>
      </c>
      <c r="D219" s="73">
        <v>6525.95</v>
      </c>
      <c r="E219" s="73">
        <v>8648.8700000000008</v>
      </c>
      <c r="F219" s="73">
        <v>6555.41</v>
      </c>
      <c r="G219" s="73">
        <v>6889.6</v>
      </c>
      <c r="H219" s="74">
        <v>11878.64</v>
      </c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</row>
    <row r="220" spans="1:28" ht="12.75" customHeight="1">
      <c r="A220" s="65">
        <v>100</v>
      </c>
      <c r="B220" s="75">
        <v>3501.56</v>
      </c>
      <c r="C220" s="66">
        <v>5604.78</v>
      </c>
      <c r="D220" s="66">
        <v>6559</v>
      </c>
      <c r="E220" s="66">
        <v>8694.26</v>
      </c>
      <c r="F220" s="66">
        <v>6584.68</v>
      </c>
      <c r="G220" s="66">
        <v>6920.82</v>
      </c>
      <c r="H220" s="67">
        <v>11932.7</v>
      </c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</row>
    <row r="221" spans="1:28" ht="12.75" customHeight="1">
      <c r="A221" s="71">
        <v>100.5</v>
      </c>
      <c r="B221" s="72">
        <v>3516.98</v>
      </c>
      <c r="C221" s="73">
        <v>5629.61</v>
      </c>
      <c r="D221" s="73">
        <v>6592.04</v>
      </c>
      <c r="E221" s="73">
        <v>8739.64</v>
      </c>
      <c r="F221" s="73">
        <v>6613.96</v>
      </c>
      <c r="G221" s="73">
        <v>6952.04</v>
      </c>
      <c r="H221" s="74">
        <v>11986.76</v>
      </c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</row>
    <row r="222" spans="1:28" ht="12.75" customHeight="1">
      <c r="A222" s="65">
        <v>101</v>
      </c>
      <c r="B222" s="75">
        <v>3532.4</v>
      </c>
      <c r="C222" s="66">
        <v>5654.43</v>
      </c>
      <c r="D222" s="66">
        <v>6625.09</v>
      </c>
      <c r="E222" s="66">
        <v>8785.0300000000007</v>
      </c>
      <c r="F222" s="66">
        <v>6643.23</v>
      </c>
      <c r="G222" s="66">
        <v>6983.26</v>
      </c>
      <c r="H222" s="67">
        <v>12040.82</v>
      </c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</row>
    <row r="223" spans="1:28" ht="12.75" customHeight="1">
      <c r="A223" s="71">
        <v>101.5</v>
      </c>
      <c r="B223" s="72">
        <v>3547.81</v>
      </c>
      <c r="C223" s="73">
        <v>5679.26</v>
      </c>
      <c r="D223" s="73">
        <v>6658.13</v>
      </c>
      <c r="E223" s="73">
        <v>8830.42</v>
      </c>
      <c r="F223" s="73">
        <v>6672.5</v>
      </c>
      <c r="G223" s="73">
        <v>7014.49</v>
      </c>
      <c r="H223" s="74">
        <v>12094.88</v>
      </c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</row>
    <row r="224" spans="1:28" ht="12.75" customHeight="1">
      <c r="A224" s="65">
        <v>102</v>
      </c>
      <c r="B224" s="75">
        <v>3563.23</v>
      </c>
      <c r="C224" s="66">
        <v>5704.08</v>
      </c>
      <c r="D224" s="66">
        <v>6691.18</v>
      </c>
      <c r="E224" s="66">
        <v>8875.7999999999993</v>
      </c>
      <c r="F224" s="66">
        <v>6701.78</v>
      </c>
      <c r="G224" s="66">
        <v>7045.71</v>
      </c>
      <c r="H224" s="67">
        <v>12148.94</v>
      </c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</row>
    <row r="225" spans="1:28" ht="12.75" customHeight="1">
      <c r="A225" s="71">
        <v>102.5</v>
      </c>
      <c r="B225" s="72">
        <v>3578.64</v>
      </c>
      <c r="C225" s="73">
        <v>5728.91</v>
      </c>
      <c r="D225" s="73">
        <v>6724.23</v>
      </c>
      <c r="E225" s="73">
        <v>8921.19</v>
      </c>
      <c r="F225" s="73">
        <v>6731.05</v>
      </c>
      <c r="G225" s="73">
        <v>7076.93</v>
      </c>
      <c r="H225" s="74">
        <v>12202.99</v>
      </c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</row>
    <row r="226" spans="1:28" ht="12.75" customHeight="1">
      <c r="A226" s="65">
        <v>103</v>
      </c>
      <c r="B226" s="75">
        <v>3594.06</v>
      </c>
      <c r="C226" s="66">
        <v>5753.74</v>
      </c>
      <c r="D226" s="66">
        <v>6757.27</v>
      </c>
      <c r="E226" s="66">
        <v>8966.58</v>
      </c>
      <c r="F226" s="66">
        <v>6760.33</v>
      </c>
      <c r="G226" s="66">
        <v>7108.15</v>
      </c>
      <c r="H226" s="67">
        <v>12257.05</v>
      </c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</row>
    <row r="227" spans="1:28" ht="12.75" customHeight="1">
      <c r="A227" s="71">
        <v>103.5</v>
      </c>
      <c r="B227" s="72">
        <v>3609.48</v>
      </c>
      <c r="C227" s="73">
        <v>5778.56</v>
      </c>
      <c r="D227" s="73">
        <v>6790.32</v>
      </c>
      <c r="E227" s="73">
        <v>9011.9599999999991</v>
      </c>
      <c r="F227" s="73">
        <v>6789.6</v>
      </c>
      <c r="G227" s="73">
        <v>7139.37</v>
      </c>
      <c r="H227" s="74">
        <v>12311.11</v>
      </c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</row>
    <row r="228" spans="1:28" ht="12.75" customHeight="1">
      <c r="A228" s="65">
        <v>104</v>
      </c>
      <c r="B228" s="75">
        <v>3624.89</v>
      </c>
      <c r="C228" s="66">
        <v>5803.39</v>
      </c>
      <c r="D228" s="66">
        <v>6823.36</v>
      </c>
      <c r="E228" s="66">
        <v>9057.35</v>
      </c>
      <c r="F228" s="66">
        <v>6818.87</v>
      </c>
      <c r="G228" s="66">
        <v>7170.59</v>
      </c>
      <c r="H228" s="67">
        <v>12365.17</v>
      </c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</row>
    <row r="229" spans="1:28" ht="12.75" customHeight="1">
      <c r="A229" s="71">
        <v>104.5</v>
      </c>
      <c r="B229" s="72">
        <v>3640.31</v>
      </c>
      <c r="C229" s="73">
        <v>5828.21</v>
      </c>
      <c r="D229" s="73">
        <v>6856.41</v>
      </c>
      <c r="E229" s="73">
        <v>9102.74</v>
      </c>
      <c r="F229" s="73">
        <v>6848.15</v>
      </c>
      <c r="G229" s="73">
        <v>7201.81</v>
      </c>
      <c r="H229" s="74">
        <v>12419.23</v>
      </c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</row>
    <row r="230" spans="1:28" ht="12.75" customHeight="1">
      <c r="A230" s="65">
        <v>105</v>
      </c>
      <c r="B230" s="75">
        <v>3655.72</v>
      </c>
      <c r="C230" s="66">
        <v>5853.04</v>
      </c>
      <c r="D230" s="66">
        <v>6889.46</v>
      </c>
      <c r="E230" s="66">
        <v>9148.1299999999992</v>
      </c>
      <c r="F230" s="66">
        <v>6877.42</v>
      </c>
      <c r="G230" s="66">
        <v>7233.04</v>
      </c>
      <c r="H230" s="67">
        <v>12473.29</v>
      </c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</row>
    <row r="231" spans="1:28" ht="12.75" customHeight="1">
      <c r="A231" s="71">
        <v>105.5</v>
      </c>
      <c r="B231" s="72">
        <v>3671.14</v>
      </c>
      <c r="C231" s="73">
        <v>5877.86</v>
      </c>
      <c r="D231" s="73">
        <v>6922.5</v>
      </c>
      <c r="E231" s="73">
        <v>9193.51</v>
      </c>
      <c r="F231" s="73">
        <v>6906.7</v>
      </c>
      <c r="G231" s="73">
        <v>7264.26</v>
      </c>
      <c r="H231" s="74">
        <v>12527.35</v>
      </c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</row>
    <row r="232" spans="1:28" ht="12.75" customHeight="1">
      <c r="A232" s="65">
        <v>106</v>
      </c>
      <c r="B232" s="75">
        <v>3686.56</v>
      </c>
      <c r="C232" s="66">
        <v>5902.69</v>
      </c>
      <c r="D232" s="66">
        <v>6955.55</v>
      </c>
      <c r="E232" s="66">
        <v>9238.9</v>
      </c>
      <c r="F232" s="66">
        <v>6935.97</v>
      </c>
      <c r="G232" s="66">
        <v>7295.48</v>
      </c>
      <c r="H232" s="67">
        <v>12581.4</v>
      </c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</row>
    <row r="233" spans="1:28" ht="12.75" customHeight="1">
      <c r="A233" s="71">
        <v>106.5</v>
      </c>
      <c r="B233" s="72">
        <v>3701.97</v>
      </c>
      <c r="C233" s="73">
        <v>5927.51</v>
      </c>
      <c r="D233" s="73">
        <v>6988.59</v>
      </c>
      <c r="E233" s="73">
        <v>9284.2900000000009</v>
      </c>
      <c r="F233" s="73">
        <v>6965.24</v>
      </c>
      <c r="G233" s="73">
        <v>7326.7</v>
      </c>
      <c r="H233" s="74">
        <v>12635.46</v>
      </c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</row>
    <row r="234" spans="1:28" ht="12.75" customHeight="1">
      <c r="A234" s="65">
        <v>107</v>
      </c>
      <c r="B234" s="75">
        <v>3717.39</v>
      </c>
      <c r="C234" s="66">
        <v>5952.34</v>
      </c>
      <c r="D234" s="66">
        <v>7021.64</v>
      </c>
      <c r="E234" s="66">
        <v>9329.67</v>
      </c>
      <c r="F234" s="66">
        <v>6994.52</v>
      </c>
      <c r="G234" s="66">
        <v>7357.92</v>
      </c>
      <c r="H234" s="67">
        <v>12689.52</v>
      </c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</row>
    <row r="235" spans="1:28" ht="12.75" customHeight="1">
      <c r="A235" s="71">
        <v>107.5</v>
      </c>
      <c r="B235" s="72">
        <v>3732.8</v>
      </c>
      <c r="C235" s="73">
        <v>5977.16</v>
      </c>
      <c r="D235" s="73">
        <v>7054.69</v>
      </c>
      <c r="E235" s="73">
        <v>9375.06</v>
      </c>
      <c r="F235" s="73">
        <v>7023.79</v>
      </c>
      <c r="G235" s="73">
        <v>7389.14</v>
      </c>
      <c r="H235" s="74">
        <v>12743.58</v>
      </c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</row>
    <row r="236" spans="1:28" ht="12.75" customHeight="1">
      <c r="A236" s="65">
        <v>108</v>
      </c>
      <c r="B236" s="75">
        <v>3748.22</v>
      </c>
      <c r="C236" s="66">
        <v>6001.99</v>
      </c>
      <c r="D236" s="66">
        <v>7087.73</v>
      </c>
      <c r="E236" s="66">
        <v>9420.4500000000007</v>
      </c>
      <c r="F236" s="66">
        <v>7053.07</v>
      </c>
      <c r="G236" s="66">
        <v>7420.36</v>
      </c>
      <c r="H236" s="67">
        <v>12797.64</v>
      </c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</row>
    <row r="237" spans="1:28" ht="12.75" customHeight="1">
      <c r="A237" s="71">
        <v>108.5</v>
      </c>
      <c r="B237" s="72">
        <v>3763.64</v>
      </c>
      <c r="C237" s="73">
        <v>6026.82</v>
      </c>
      <c r="D237" s="73">
        <v>7120.78</v>
      </c>
      <c r="E237" s="73">
        <v>9465.83</v>
      </c>
      <c r="F237" s="73">
        <v>7082.34</v>
      </c>
      <c r="G237" s="73">
        <v>7451.59</v>
      </c>
      <c r="H237" s="74">
        <v>12851.7</v>
      </c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</row>
    <row r="238" spans="1:28" ht="12.75" customHeight="1">
      <c r="A238" s="65">
        <v>109</v>
      </c>
      <c r="B238" s="75">
        <v>3779.05</v>
      </c>
      <c r="C238" s="66">
        <v>6051.64</v>
      </c>
      <c r="D238" s="66">
        <v>7153.82</v>
      </c>
      <c r="E238" s="66">
        <v>9511.2199999999993</v>
      </c>
      <c r="F238" s="66">
        <v>7111.61</v>
      </c>
      <c r="G238" s="66">
        <v>7482.81</v>
      </c>
      <c r="H238" s="67">
        <v>12905.75</v>
      </c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</row>
    <row r="239" spans="1:28" ht="12.75" customHeight="1">
      <c r="A239" s="71">
        <v>109.5</v>
      </c>
      <c r="B239" s="72">
        <v>3794.47</v>
      </c>
      <c r="C239" s="73">
        <v>6076.47</v>
      </c>
      <c r="D239" s="73">
        <v>7186.87</v>
      </c>
      <c r="E239" s="73">
        <v>9556.61</v>
      </c>
      <c r="F239" s="73">
        <v>7140.89</v>
      </c>
      <c r="G239" s="73">
        <v>7514.03</v>
      </c>
      <c r="H239" s="74">
        <v>12959.81</v>
      </c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</row>
    <row r="240" spans="1:28" ht="12.75" customHeight="1">
      <c r="A240" s="65">
        <v>110</v>
      </c>
      <c r="B240" s="75">
        <v>3809.88</v>
      </c>
      <c r="C240" s="66">
        <v>6101.29</v>
      </c>
      <c r="D240" s="66">
        <v>7219.92</v>
      </c>
      <c r="E240" s="66">
        <v>9602</v>
      </c>
      <c r="F240" s="66">
        <v>7170.16</v>
      </c>
      <c r="G240" s="66">
        <v>7545.25</v>
      </c>
      <c r="H240" s="67">
        <v>13013.87</v>
      </c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</row>
    <row r="241" spans="1:28" ht="12.75" customHeight="1">
      <c r="A241" s="71">
        <v>110.5</v>
      </c>
      <c r="B241" s="72">
        <v>3825.3</v>
      </c>
      <c r="C241" s="73">
        <v>6126.12</v>
      </c>
      <c r="D241" s="73">
        <v>7252.96</v>
      </c>
      <c r="E241" s="73">
        <v>9647.3799999999992</v>
      </c>
      <c r="F241" s="73">
        <v>7199.44</v>
      </c>
      <c r="G241" s="73">
        <v>7576.47</v>
      </c>
      <c r="H241" s="74">
        <v>13067.93</v>
      </c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</row>
    <row r="242" spans="1:28" ht="12.75" customHeight="1">
      <c r="A242" s="65">
        <v>111</v>
      </c>
      <c r="B242" s="75">
        <v>3840.72</v>
      </c>
      <c r="C242" s="66">
        <v>6150.94</v>
      </c>
      <c r="D242" s="66">
        <v>7286.01</v>
      </c>
      <c r="E242" s="66">
        <v>9692.77</v>
      </c>
      <c r="F242" s="66">
        <v>7228.71</v>
      </c>
      <c r="G242" s="66">
        <v>7607.69</v>
      </c>
      <c r="H242" s="67">
        <v>13121.99</v>
      </c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</row>
    <row r="243" spans="1:28" ht="12.75" customHeight="1">
      <c r="A243" s="71">
        <v>111.5</v>
      </c>
      <c r="B243" s="72">
        <v>3856.13</v>
      </c>
      <c r="C243" s="73">
        <v>6175.77</v>
      </c>
      <c r="D243" s="73">
        <v>7319.05</v>
      </c>
      <c r="E243" s="73">
        <v>9738.16</v>
      </c>
      <c r="F243" s="73">
        <v>7257.98</v>
      </c>
      <c r="G243" s="73">
        <v>7638.92</v>
      </c>
      <c r="H243" s="74">
        <v>13176.05</v>
      </c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</row>
    <row r="244" spans="1:28" ht="12.75" customHeight="1">
      <c r="A244" s="65">
        <v>112</v>
      </c>
      <c r="B244" s="75">
        <v>3871.55</v>
      </c>
      <c r="C244" s="66">
        <v>6200.59</v>
      </c>
      <c r="D244" s="66">
        <v>7352.1</v>
      </c>
      <c r="E244" s="66">
        <v>9783.5400000000009</v>
      </c>
      <c r="F244" s="66">
        <v>7287.26</v>
      </c>
      <c r="G244" s="66">
        <v>7670.14</v>
      </c>
      <c r="H244" s="67">
        <v>13230.11</v>
      </c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</row>
    <row r="245" spans="1:28" ht="12.75" customHeight="1">
      <c r="A245" s="71">
        <v>112.5</v>
      </c>
      <c r="B245" s="72">
        <v>3886.96</v>
      </c>
      <c r="C245" s="73">
        <v>6225.42</v>
      </c>
      <c r="D245" s="73">
        <v>7385.15</v>
      </c>
      <c r="E245" s="73">
        <v>9828.93</v>
      </c>
      <c r="F245" s="73">
        <v>7316.53</v>
      </c>
      <c r="G245" s="73">
        <v>7701.36</v>
      </c>
      <c r="H245" s="74">
        <v>13284.16</v>
      </c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</row>
    <row r="246" spans="1:28" ht="12.75" customHeight="1">
      <c r="A246" s="65">
        <v>113</v>
      </c>
      <c r="B246" s="75">
        <v>3902.38</v>
      </c>
      <c r="C246" s="66">
        <v>6250.25</v>
      </c>
      <c r="D246" s="66">
        <v>7418.19</v>
      </c>
      <c r="E246" s="66">
        <v>9874.32</v>
      </c>
      <c r="F246" s="66">
        <v>7345.81</v>
      </c>
      <c r="G246" s="66">
        <v>7732.58</v>
      </c>
      <c r="H246" s="67">
        <v>13338.22</v>
      </c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</row>
    <row r="247" spans="1:28" ht="12.75" customHeight="1">
      <c r="A247" s="71">
        <v>113.5</v>
      </c>
      <c r="B247" s="72">
        <v>3917.8</v>
      </c>
      <c r="C247" s="73">
        <v>6275.07</v>
      </c>
      <c r="D247" s="73">
        <v>7451.24</v>
      </c>
      <c r="E247" s="73">
        <v>9919.7000000000007</v>
      </c>
      <c r="F247" s="73">
        <v>7375.08</v>
      </c>
      <c r="G247" s="73">
        <v>7763.8</v>
      </c>
      <c r="H247" s="74">
        <v>13392.28</v>
      </c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</row>
    <row r="248" spans="1:28" ht="12.75" customHeight="1">
      <c r="A248" s="65">
        <v>114</v>
      </c>
      <c r="B248" s="75">
        <v>3933.21</v>
      </c>
      <c r="C248" s="66">
        <v>6299.9</v>
      </c>
      <c r="D248" s="66">
        <v>7484.28</v>
      </c>
      <c r="E248" s="66">
        <v>9965.09</v>
      </c>
      <c r="F248" s="66">
        <v>7404.35</v>
      </c>
      <c r="G248" s="66">
        <v>7795.02</v>
      </c>
      <c r="H248" s="67">
        <v>13446.34</v>
      </c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</row>
    <row r="249" spans="1:28" ht="12.75" customHeight="1">
      <c r="A249" s="71">
        <v>114.5</v>
      </c>
      <c r="B249" s="72">
        <v>3948.63</v>
      </c>
      <c r="C249" s="73">
        <v>6324.72</v>
      </c>
      <c r="D249" s="73">
        <v>7517.33</v>
      </c>
      <c r="E249" s="73">
        <v>10010.48</v>
      </c>
      <c r="F249" s="73">
        <v>7433.63</v>
      </c>
      <c r="G249" s="73">
        <v>7826.24</v>
      </c>
      <c r="H249" s="74">
        <v>13500.4</v>
      </c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</row>
    <row r="250" spans="1:28" ht="12.75" customHeight="1">
      <c r="A250" s="65">
        <v>115</v>
      </c>
      <c r="B250" s="75">
        <v>3964.04</v>
      </c>
      <c r="C250" s="66">
        <v>6349.55</v>
      </c>
      <c r="D250" s="66">
        <v>7550.38</v>
      </c>
      <c r="E250" s="66">
        <v>10055.870000000001</v>
      </c>
      <c r="F250" s="66">
        <v>7462.9</v>
      </c>
      <c r="G250" s="66">
        <v>7857.47</v>
      </c>
      <c r="H250" s="67">
        <v>13554.46</v>
      </c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</row>
    <row r="251" spans="1:28" ht="12.75" customHeight="1">
      <c r="A251" s="71">
        <v>115.5</v>
      </c>
      <c r="B251" s="72">
        <v>3979.46</v>
      </c>
      <c r="C251" s="73">
        <v>6374.37</v>
      </c>
      <c r="D251" s="73">
        <v>7583.42</v>
      </c>
      <c r="E251" s="73">
        <v>10101.25</v>
      </c>
      <c r="F251" s="73">
        <v>7492.18</v>
      </c>
      <c r="G251" s="73">
        <v>7888.69</v>
      </c>
      <c r="H251" s="74">
        <v>13608.52</v>
      </c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</row>
    <row r="252" spans="1:28" ht="12.75" customHeight="1">
      <c r="A252" s="65">
        <v>116</v>
      </c>
      <c r="B252" s="75">
        <v>3994.88</v>
      </c>
      <c r="C252" s="66">
        <v>6399.2</v>
      </c>
      <c r="D252" s="66">
        <v>7616.47</v>
      </c>
      <c r="E252" s="66">
        <v>10146.64</v>
      </c>
      <c r="F252" s="66">
        <v>7521.45</v>
      </c>
      <c r="G252" s="66">
        <v>7919.91</v>
      </c>
      <c r="H252" s="67">
        <v>13662.57</v>
      </c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</row>
    <row r="253" spans="1:28" ht="12.75" customHeight="1">
      <c r="A253" s="71">
        <v>116.5</v>
      </c>
      <c r="B253" s="72">
        <v>4010.29</v>
      </c>
      <c r="C253" s="73">
        <v>6424.02</v>
      </c>
      <c r="D253" s="73">
        <v>7649.51</v>
      </c>
      <c r="E253" s="73">
        <v>10192.030000000001</v>
      </c>
      <c r="F253" s="73">
        <v>7550.72</v>
      </c>
      <c r="G253" s="73">
        <v>7951.13</v>
      </c>
      <c r="H253" s="74">
        <v>13716.63</v>
      </c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</row>
    <row r="254" spans="1:28" ht="12.75" customHeight="1">
      <c r="A254" s="65">
        <v>117</v>
      </c>
      <c r="B254" s="75">
        <v>4025.71</v>
      </c>
      <c r="C254" s="66">
        <v>6448.85</v>
      </c>
      <c r="D254" s="66">
        <v>7682.56</v>
      </c>
      <c r="E254" s="66">
        <v>10237.41</v>
      </c>
      <c r="F254" s="66">
        <v>7580</v>
      </c>
      <c r="G254" s="66">
        <v>7982.35</v>
      </c>
      <c r="H254" s="67">
        <v>13770.69</v>
      </c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</row>
    <row r="255" spans="1:28" ht="12.75" customHeight="1">
      <c r="A255" s="71">
        <v>117.5</v>
      </c>
      <c r="B255" s="72">
        <v>4041.12</v>
      </c>
      <c r="C255" s="73">
        <v>6473.67</v>
      </c>
      <c r="D255" s="73">
        <v>7715.61</v>
      </c>
      <c r="E255" s="73">
        <v>10282.799999999999</v>
      </c>
      <c r="F255" s="73">
        <v>7609.27</v>
      </c>
      <c r="G255" s="73">
        <v>8013.57</v>
      </c>
      <c r="H255" s="74">
        <v>13824.75</v>
      </c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</row>
    <row r="256" spans="1:28" ht="12.75" customHeight="1">
      <c r="A256" s="65">
        <v>118</v>
      </c>
      <c r="B256" s="75">
        <v>4056.54</v>
      </c>
      <c r="C256" s="66">
        <v>6498.5</v>
      </c>
      <c r="D256" s="66">
        <v>7748.65</v>
      </c>
      <c r="E256" s="66">
        <v>10328.19</v>
      </c>
      <c r="F256" s="66">
        <v>7638.55</v>
      </c>
      <c r="G256" s="66">
        <v>8044.79</v>
      </c>
      <c r="H256" s="67">
        <v>13878.81</v>
      </c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</row>
    <row r="257" spans="1:28" ht="12.75" customHeight="1">
      <c r="A257" s="71">
        <v>118.5</v>
      </c>
      <c r="B257" s="72">
        <v>4071.96</v>
      </c>
      <c r="C257" s="73">
        <v>6523.33</v>
      </c>
      <c r="D257" s="73">
        <v>7781.7</v>
      </c>
      <c r="E257" s="73">
        <v>10373.57</v>
      </c>
      <c r="F257" s="73">
        <v>7667.82</v>
      </c>
      <c r="G257" s="73">
        <v>8076.02</v>
      </c>
      <c r="H257" s="74">
        <v>13932.87</v>
      </c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</row>
    <row r="258" spans="1:28" ht="12.75" customHeight="1">
      <c r="A258" s="65">
        <v>119</v>
      </c>
      <c r="B258" s="75">
        <v>4087.37</v>
      </c>
      <c r="C258" s="66">
        <v>6548.15</v>
      </c>
      <c r="D258" s="66">
        <v>7814.74</v>
      </c>
      <c r="E258" s="66">
        <v>10418.959999999999</v>
      </c>
      <c r="F258" s="66">
        <v>7697.09</v>
      </c>
      <c r="G258" s="66">
        <v>8107.24</v>
      </c>
      <c r="H258" s="67">
        <v>13986.92</v>
      </c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</row>
    <row r="259" spans="1:28" ht="12.75" customHeight="1">
      <c r="A259" s="71">
        <v>119.5</v>
      </c>
      <c r="B259" s="72">
        <v>4102.79</v>
      </c>
      <c r="C259" s="73">
        <v>6572.98</v>
      </c>
      <c r="D259" s="73">
        <v>7847.79</v>
      </c>
      <c r="E259" s="73">
        <v>10464.35</v>
      </c>
      <c r="F259" s="73">
        <v>7726.37</v>
      </c>
      <c r="G259" s="73">
        <v>8138.46</v>
      </c>
      <c r="H259" s="74">
        <v>14040.98</v>
      </c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</row>
    <row r="260" spans="1:28" ht="12.75" customHeight="1">
      <c r="A260" s="65">
        <v>120</v>
      </c>
      <c r="B260" s="75">
        <v>4118.2</v>
      </c>
      <c r="C260" s="66">
        <v>6597.8</v>
      </c>
      <c r="D260" s="66">
        <v>7880.84</v>
      </c>
      <c r="E260" s="66">
        <v>10509.74</v>
      </c>
      <c r="F260" s="66">
        <v>7755.64</v>
      </c>
      <c r="G260" s="66">
        <v>8169.68</v>
      </c>
      <c r="H260" s="67">
        <v>14095.04</v>
      </c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</row>
    <row r="261" spans="1:28" ht="12.75" customHeight="1">
      <c r="A261" s="71">
        <v>120.5</v>
      </c>
      <c r="B261" s="72">
        <v>4133.62</v>
      </c>
      <c r="C261" s="73">
        <v>6622.63</v>
      </c>
      <c r="D261" s="73">
        <v>7913.88</v>
      </c>
      <c r="E261" s="73">
        <v>10555.12</v>
      </c>
      <c r="F261" s="73">
        <v>7784.92</v>
      </c>
      <c r="G261" s="73">
        <v>8200.9</v>
      </c>
      <c r="H261" s="74">
        <v>14149.1</v>
      </c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</row>
    <row r="262" spans="1:28" ht="12.75" customHeight="1">
      <c r="A262" s="65">
        <v>121</v>
      </c>
      <c r="B262" s="75">
        <v>4149.04</v>
      </c>
      <c r="C262" s="66">
        <v>6647.45</v>
      </c>
      <c r="D262" s="66">
        <v>7946.93</v>
      </c>
      <c r="E262" s="66">
        <v>10600.51</v>
      </c>
      <c r="F262" s="66">
        <v>7814.19</v>
      </c>
      <c r="G262" s="66">
        <v>8232.1200000000008</v>
      </c>
      <c r="H262" s="67">
        <v>14203.16</v>
      </c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</row>
    <row r="263" spans="1:28" ht="12.75" customHeight="1">
      <c r="A263" s="71">
        <v>121.5</v>
      </c>
      <c r="B263" s="72">
        <v>4164.45</v>
      </c>
      <c r="C263" s="73">
        <v>6672.28</v>
      </c>
      <c r="D263" s="73">
        <v>7979.97</v>
      </c>
      <c r="E263" s="73">
        <v>10645.9</v>
      </c>
      <c r="F263" s="73">
        <v>7843.46</v>
      </c>
      <c r="G263" s="73">
        <v>8263.35</v>
      </c>
      <c r="H263" s="74">
        <v>14257.22</v>
      </c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</row>
    <row r="264" spans="1:28" ht="12.75" customHeight="1">
      <c r="A264" s="65">
        <v>122</v>
      </c>
      <c r="B264" s="75">
        <v>4179.87</v>
      </c>
      <c r="C264" s="66">
        <v>6697.1</v>
      </c>
      <c r="D264" s="66">
        <v>8013.02</v>
      </c>
      <c r="E264" s="66">
        <v>10691.28</v>
      </c>
      <c r="F264" s="66">
        <v>7872.74</v>
      </c>
      <c r="G264" s="66">
        <v>8294.57</v>
      </c>
      <c r="H264" s="67">
        <v>14311.28</v>
      </c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</row>
    <row r="265" spans="1:28" ht="12.75" customHeight="1">
      <c r="A265" s="71">
        <v>122.5</v>
      </c>
      <c r="B265" s="72">
        <v>4195.28</v>
      </c>
      <c r="C265" s="73">
        <v>6721.93</v>
      </c>
      <c r="D265" s="73">
        <v>8046.07</v>
      </c>
      <c r="E265" s="73">
        <v>10736.67</v>
      </c>
      <c r="F265" s="73">
        <v>7902.01</v>
      </c>
      <c r="G265" s="73">
        <v>8325.7900000000009</v>
      </c>
      <c r="H265" s="74">
        <v>14365.33</v>
      </c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</row>
    <row r="266" spans="1:28" ht="12.75" customHeight="1">
      <c r="A266" s="65">
        <v>123</v>
      </c>
      <c r="B266" s="75">
        <v>4210.7</v>
      </c>
      <c r="C266" s="66">
        <v>6746.76</v>
      </c>
      <c r="D266" s="66">
        <v>8079.11</v>
      </c>
      <c r="E266" s="66">
        <v>10782.06</v>
      </c>
      <c r="F266" s="66">
        <v>7931.29</v>
      </c>
      <c r="G266" s="66">
        <v>8357.01</v>
      </c>
      <c r="H266" s="67">
        <v>14419.39</v>
      </c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</row>
    <row r="267" spans="1:28" ht="12.75" customHeight="1">
      <c r="A267" s="71">
        <v>123.5</v>
      </c>
      <c r="B267" s="72">
        <v>4226.12</v>
      </c>
      <c r="C267" s="73">
        <v>6771.58</v>
      </c>
      <c r="D267" s="73">
        <v>8112.16</v>
      </c>
      <c r="E267" s="73">
        <v>10827.44</v>
      </c>
      <c r="F267" s="73">
        <v>7960.56</v>
      </c>
      <c r="G267" s="73">
        <v>8388.23</v>
      </c>
      <c r="H267" s="74">
        <v>14473.45</v>
      </c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</row>
    <row r="268" spans="1:28" ht="12.75" customHeight="1">
      <c r="A268" s="65">
        <v>124</v>
      </c>
      <c r="B268" s="75">
        <v>4241.53</v>
      </c>
      <c r="C268" s="66">
        <v>6796.41</v>
      </c>
      <c r="D268" s="66">
        <v>8145.2</v>
      </c>
      <c r="E268" s="66">
        <v>10872.83</v>
      </c>
      <c r="F268" s="66">
        <v>7989.83</v>
      </c>
      <c r="G268" s="66">
        <v>8419.4500000000007</v>
      </c>
      <c r="H268" s="67">
        <v>14527.51</v>
      </c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</row>
    <row r="269" spans="1:28" ht="12.75" customHeight="1">
      <c r="A269" s="71">
        <v>124.5</v>
      </c>
      <c r="B269" s="72">
        <v>4256.95</v>
      </c>
      <c r="C269" s="73">
        <v>6821.23</v>
      </c>
      <c r="D269" s="73">
        <v>8178.25</v>
      </c>
      <c r="E269" s="73">
        <v>10918.22</v>
      </c>
      <c r="F269" s="73">
        <v>8019.11</v>
      </c>
      <c r="G269" s="73">
        <v>8450.67</v>
      </c>
      <c r="H269" s="74">
        <v>14581.57</v>
      </c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</row>
    <row r="270" spans="1:28" ht="12.75" customHeight="1">
      <c r="A270" s="65">
        <v>125</v>
      </c>
      <c r="B270" s="75">
        <v>4272.3599999999997</v>
      </c>
      <c r="C270" s="66">
        <v>6846.06</v>
      </c>
      <c r="D270" s="66">
        <v>8211.2999999999993</v>
      </c>
      <c r="E270" s="66">
        <v>10963.61</v>
      </c>
      <c r="F270" s="66">
        <v>8048.38</v>
      </c>
      <c r="G270" s="66">
        <v>8481.9</v>
      </c>
      <c r="H270" s="67">
        <v>14635.63</v>
      </c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</row>
    <row r="271" spans="1:28" ht="12.75" customHeight="1">
      <c r="A271" s="71">
        <v>125.5</v>
      </c>
      <c r="B271" s="72">
        <v>4287.78</v>
      </c>
      <c r="C271" s="73">
        <v>6870.88</v>
      </c>
      <c r="D271" s="73">
        <v>8244.34</v>
      </c>
      <c r="E271" s="73">
        <v>11008.99</v>
      </c>
      <c r="F271" s="73">
        <v>8077.66</v>
      </c>
      <c r="G271" s="73">
        <v>8513.1200000000008</v>
      </c>
      <c r="H271" s="74">
        <v>14689.69</v>
      </c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</row>
    <row r="272" spans="1:28" ht="12.75" customHeight="1">
      <c r="A272" s="65">
        <v>126</v>
      </c>
      <c r="B272" s="75">
        <v>4303.2</v>
      </c>
      <c r="C272" s="66">
        <v>6895.71</v>
      </c>
      <c r="D272" s="66">
        <v>8277.39</v>
      </c>
      <c r="E272" s="66">
        <v>11054.38</v>
      </c>
      <c r="F272" s="66">
        <v>8106.93</v>
      </c>
      <c r="G272" s="66">
        <v>8544.34</v>
      </c>
      <c r="H272" s="67">
        <v>14743.74</v>
      </c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</row>
    <row r="273" spans="1:28" ht="12.75" customHeight="1">
      <c r="A273" s="71">
        <v>126.5</v>
      </c>
      <c r="B273" s="72">
        <v>4318.6099999999997</v>
      </c>
      <c r="C273" s="73">
        <v>6920.53</v>
      </c>
      <c r="D273" s="73">
        <v>8310.43</v>
      </c>
      <c r="E273" s="73">
        <v>11099.77</v>
      </c>
      <c r="F273" s="73">
        <v>8136.2</v>
      </c>
      <c r="G273" s="73">
        <v>8575.56</v>
      </c>
      <c r="H273" s="74">
        <v>14797.8</v>
      </c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</row>
    <row r="274" spans="1:28" ht="12.75" customHeight="1">
      <c r="A274" s="65">
        <v>127</v>
      </c>
      <c r="B274" s="75">
        <v>4334.03</v>
      </c>
      <c r="C274" s="66">
        <v>6945.36</v>
      </c>
      <c r="D274" s="66">
        <v>8343.48</v>
      </c>
      <c r="E274" s="66">
        <v>11145.15</v>
      </c>
      <c r="F274" s="66">
        <v>8165.48</v>
      </c>
      <c r="G274" s="66">
        <v>8606.7800000000007</v>
      </c>
      <c r="H274" s="67">
        <v>14851.86</v>
      </c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</row>
    <row r="275" spans="1:28" ht="12.75" customHeight="1">
      <c r="A275" s="71">
        <v>127.5</v>
      </c>
      <c r="B275" s="72">
        <v>4349.4399999999996</v>
      </c>
      <c r="C275" s="73">
        <v>6970.18</v>
      </c>
      <c r="D275" s="73">
        <v>8376.5300000000007</v>
      </c>
      <c r="E275" s="73">
        <v>11190.54</v>
      </c>
      <c r="F275" s="73">
        <v>8194.75</v>
      </c>
      <c r="G275" s="73">
        <v>8638</v>
      </c>
      <c r="H275" s="74">
        <v>14905.92</v>
      </c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</row>
    <row r="276" spans="1:28" ht="12.75" customHeight="1">
      <c r="A276" s="65">
        <v>128</v>
      </c>
      <c r="B276" s="75">
        <v>4364.8599999999997</v>
      </c>
      <c r="C276" s="66">
        <v>6995.01</v>
      </c>
      <c r="D276" s="66">
        <v>8409.57</v>
      </c>
      <c r="E276" s="66">
        <v>11235.93</v>
      </c>
      <c r="F276" s="66">
        <v>8224.0300000000007</v>
      </c>
      <c r="G276" s="66">
        <v>8669.2199999999993</v>
      </c>
      <c r="H276" s="67">
        <v>14959.98</v>
      </c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</row>
    <row r="277" spans="1:28" ht="12.75" customHeight="1">
      <c r="A277" s="71">
        <v>128.5</v>
      </c>
      <c r="B277" s="72">
        <v>4380.28</v>
      </c>
      <c r="C277" s="73">
        <v>7019.84</v>
      </c>
      <c r="D277" s="73">
        <v>8442.6200000000008</v>
      </c>
      <c r="E277" s="73">
        <v>11281.31</v>
      </c>
      <c r="F277" s="73">
        <v>8253.2999999999993</v>
      </c>
      <c r="G277" s="73">
        <v>8700.4500000000007</v>
      </c>
      <c r="H277" s="74">
        <v>15014.04</v>
      </c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</row>
    <row r="278" spans="1:28" ht="12.75" customHeight="1">
      <c r="A278" s="65">
        <v>129</v>
      </c>
      <c r="B278" s="75">
        <v>4395.6899999999996</v>
      </c>
      <c r="C278" s="66">
        <v>7044.66</v>
      </c>
      <c r="D278" s="66">
        <v>8475.66</v>
      </c>
      <c r="E278" s="66">
        <v>11326.7</v>
      </c>
      <c r="F278" s="66">
        <v>8282.57</v>
      </c>
      <c r="G278" s="66">
        <v>8731.67</v>
      </c>
      <c r="H278" s="67">
        <v>15068.09</v>
      </c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</row>
    <row r="279" spans="1:28" ht="12.75" customHeight="1">
      <c r="A279" s="71">
        <v>129.5</v>
      </c>
      <c r="B279" s="72">
        <v>4411.1099999999997</v>
      </c>
      <c r="C279" s="73">
        <v>7069.49</v>
      </c>
      <c r="D279" s="73">
        <v>8508.7099999999991</v>
      </c>
      <c r="E279" s="73">
        <v>11372.09</v>
      </c>
      <c r="F279" s="73">
        <v>8311.85</v>
      </c>
      <c r="G279" s="73">
        <v>8762.89</v>
      </c>
      <c r="H279" s="74">
        <v>15122.15</v>
      </c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</row>
    <row r="280" spans="1:28" ht="12.75" customHeight="1">
      <c r="A280" s="65">
        <v>130</v>
      </c>
      <c r="B280" s="75">
        <v>4426.5200000000004</v>
      </c>
      <c r="C280" s="66">
        <v>7094.31</v>
      </c>
      <c r="D280" s="66">
        <v>8541.76</v>
      </c>
      <c r="E280" s="66">
        <v>11417.48</v>
      </c>
      <c r="F280" s="66">
        <v>8341.1200000000008</v>
      </c>
      <c r="G280" s="66">
        <v>8794.11</v>
      </c>
      <c r="H280" s="67">
        <v>15176.21</v>
      </c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</row>
    <row r="281" spans="1:28" ht="12.75" customHeight="1">
      <c r="A281" s="71">
        <v>130.5</v>
      </c>
      <c r="B281" s="72">
        <v>4441.9399999999996</v>
      </c>
      <c r="C281" s="73">
        <v>7119.14</v>
      </c>
      <c r="D281" s="73">
        <v>8574.7999999999993</v>
      </c>
      <c r="E281" s="73">
        <v>11462.86</v>
      </c>
      <c r="F281" s="73">
        <v>8370.4</v>
      </c>
      <c r="G281" s="73">
        <v>8825.33</v>
      </c>
      <c r="H281" s="74">
        <v>15230.27</v>
      </c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</row>
    <row r="282" spans="1:28" ht="12.75" customHeight="1">
      <c r="A282" s="65">
        <v>131</v>
      </c>
      <c r="B282" s="75">
        <v>4457.3599999999997</v>
      </c>
      <c r="C282" s="66">
        <v>7143.96</v>
      </c>
      <c r="D282" s="66">
        <v>8607.85</v>
      </c>
      <c r="E282" s="66">
        <v>11508.25</v>
      </c>
      <c r="F282" s="66">
        <v>8399.67</v>
      </c>
      <c r="G282" s="66">
        <v>8856.5499999999993</v>
      </c>
      <c r="H282" s="67">
        <v>15284.33</v>
      </c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</row>
    <row r="283" spans="1:28" ht="12.75" customHeight="1">
      <c r="A283" s="71">
        <v>131.5</v>
      </c>
      <c r="B283" s="72">
        <v>4472.7700000000004</v>
      </c>
      <c r="C283" s="73">
        <v>7168.79</v>
      </c>
      <c r="D283" s="73">
        <v>8640.89</v>
      </c>
      <c r="E283" s="73">
        <v>11553.64</v>
      </c>
      <c r="F283" s="73">
        <v>8428.94</v>
      </c>
      <c r="G283" s="73">
        <v>8887.7800000000007</v>
      </c>
      <c r="H283" s="74">
        <v>15338.39</v>
      </c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</row>
    <row r="284" spans="1:28" ht="12.75" customHeight="1">
      <c r="A284" s="65">
        <v>132</v>
      </c>
      <c r="B284" s="75">
        <v>4488.1899999999996</v>
      </c>
      <c r="C284" s="66">
        <v>7193.61</v>
      </c>
      <c r="D284" s="66">
        <v>8673.94</v>
      </c>
      <c r="E284" s="66">
        <v>11599.02</v>
      </c>
      <c r="F284" s="66">
        <v>8458.2199999999993</v>
      </c>
      <c r="G284" s="66">
        <v>8919</v>
      </c>
      <c r="H284" s="67">
        <v>15392.45</v>
      </c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</row>
    <row r="285" spans="1:28" ht="12.75" customHeight="1">
      <c r="A285" s="71">
        <v>132.5</v>
      </c>
      <c r="B285" s="72">
        <v>4503.6000000000004</v>
      </c>
      <c r="C285" s="73">
        <v>7218.44</v>
      </c>
      <c r="D285" s="73">
        <v>8706.99</v>
      </c>
      <c r="E285" s="73">
        <v>11644.41</v>
      </c>
      <c r="F285" s="73">
        <v>8487.49</v>
      </c>
      <c r="G285" s="73">
        <v>8950.2199999999993</v>
      </c>
      <c r="H285" s="74">
        <v>15446.5</v>
      </c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</row>
    <row r="286" spans="1:28" ht="12.75" customHeight="1">
      <c r="A286" s="65">
        <v>133</v>
      </c>
      <c r="B286" s="75">
        <v>4519.0200000000004</v>
      </c>
      <c r="C286" s="66">
        <v>7243.27</v>
      </c>
      <c r="D286" s="66">
        <v>8740.0300000000007</v>
      </c>
      <c r="E286" s="66">
        <v>11689.8</v>
      </c>
      <c r="F286" s="66">
        <v>8516.77</v>
      </c>
      <c r="G286" s="66">
        <v>8981.44</v>
      </c>
      <c r="H286" s="67">
        <v>15500.56</v>
      </c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</row>
    <row r="287" spans="1:28" ht="12.75" customHeight="1">
      <c r="A287" s="71">
        <v>133.5</v>
      </c>
      <c r="B287" s="72">
        <v>4534.4399999999996</v>
      </c>
      <c r="C287" s="73">
        <v>7268.09</v>
      </c>
      <c r="D287" s="73">
        <v>8773.08</v>
      </c>
      <c r="E287" s="73">
        <v>11735.18</v>
      </c>
      <c r="F287" s="73">
        <v>8546.0400000000009</v>
      </c>
      <c r="G287" s="73">
        <v>9012.66</v>
      </c>
      <c r="H287" s="74">
        <v>15554.62</v>
      </c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</row>
    <row r="288" spans="1:28" ht="12.75" customHeight="1">
      <c r="A288" s="65">
        <v>134</v>
      </c>
      <c r="B288" s="75">
        <v>4549.8500000000004</v>
      </c>
      <c r="C288" s="66">
        <v>7292.92</v>
      </c>
      <c r="D288" s="66">
        <v>8806.1200000000008</v>
      </c>
      <c r="E288" s="66">
        <v>11780.57</v>
      </c>
      <c r="F288" s="66">
        <v>8575.31</v>
      </c>
      <c r="G288" s="66">
        <v>9043.8799999999992</v>
      </c>
      <c r="H288" s="67">
        <v>15608.68</v>
      </c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</row>
    <row r="289" spans="1:28" ht="12.75" customHeight="1">
      <c r="A289" s="71">
        <v>134.5</v>
      </c>
      <c r="B289" s="72">
        <v>4565.2700000000004</v>
      </c>
      <c r="C289" s="73">
        <v>7317.74</v>
      </c>
      <c r="D289" s="73">
        <v>8839.17</v>
      </c>
      <c r="E289" s="73">
        <v>11825.96</v>
      </c>
      <c r="F289" s="73">
        <v>8604.59</v>
      </c>
      <c r="G289" s="73">
        <v>9075.1</v>
      </c>
      <c r="H289" s="74">
        <v>15662.74</v>
      </c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</row>
    <row r="290" spans="1:28" ht="12.75" customHeight="1">
      <c r="A290" s="65">
        <v>135</v>
      </c>
      <c r="B290" s="75">
        <v>4580.68</v>
      </c>
      <c r="C290" s="66">
        <v>7342.57</v>
      </c>
      <c r="D290" s="66">
        <v>8872.2199999999993</v>
      </c>
      <c r="E290" s="66">
        <v>11871.35</v>
      </c>
      <c r="F290" s="66">
        <v>8633.86</v>
      </c>
      <c r="G290" s="66">
        <v>9106.33</v>
      </c>
      <c r="H290" s="67">
        <v>15716.8</v>
      </c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</row>
    <row r="291" spans="1:28" ht="12.75" customHeight="1">
      <c r="A291" s="71">
        <v>135.5</v>
      </c>
      <c r="B291" s="72">
        <v>4596.1000000000004</v>
      </c>
      <c r="C291" s="73">
        <v>7367.39</v>
      </c>
      <c r="D291" s="73">
        <v>8905.26</v>
      </c>
      <c r="E291" s="73">
        <v>11916.73</v>
      </c>
      <c r="F291" s="73">
        <v>8663.14</v>
      </c>
      <c r="G291" s="73">
        <v>9137.5499999999993</v>
      </c>
      <c r="H291" s="74">
        <v>15770.86</v>
      </c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</row>
    <row r="292" spans="1:28" ht="12.75" customHeight="1">
      <c r="A292" s="65">
        <v>136</v>
      </c>
      <c r="B292" s="75">
        <v>4611.5200000000004</v>
      </c>
      <c r="C292" s="66">
        <v>7392.22</v>
      </c>
      <c r="D292" s="66">
        <v>8938.31</v>
      </c>
      <c r="E292" s="66">
        <v>11962.12</v>
      </c>
      <c r="F292" s="66">
        <v>8692.41</v>
      </c>
      <c r="G292" s="66">
        <v>9168.77</v>
      </c>
      <c r="H292" s="67">
        <v>15824.91</v>
      </c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</row>
    <row r="293" spans="1:28" ht="12.75" customHeight="1">
      <c r="A293" s="71">
        <v>136.5</v>
      </c>
      <c r="B293" s="72">
        <v>4626.93</v>
      </c>
      <c r="C293" s="73">
        <v>7417.04</v>
      </c>
      <c r="D293" s="73">
        <v>8971.35</v>
      </c>
      <c r="E293" s="73">
        <v>12007.51</v>
      </c>
      <c r="F293" s="73">
        <v>8721.68</v>
      </c>
      <c r="G293" s="73">
        <v>9199.99</v>
      </c>
      <c r="H293" s="74">
        <v>15878.97</v>
      </c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</row>
    <row r="294" spans="1:28" ht="12.75" customHeight="1">
      <c r="A294" s="65">
        <v>137</v>
      </c>
      <c r="B294" s="75">
        <v>4642.3500000000004</v>
      </c>
      <c r="C294" s="66">
        <v>7441.87</v>
      </c>
      <c r="D294" s="66">
        <v>9004.4</v>
      </c>
      <c r="E294" s="66">
        <v>12052.89</v>
      </c>
      <c r="F294" s="66">
        <v>8750.9599999999991</v>
      </c>
      <c r="G294" s="66">
        <v>9231.2099999999991</v>
      </c>
      <c r="H294" s="67">
        <v>15933.03</v>
      </c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</row>
    <row r="295" spans="1:28" ht="12.75" customHeight="1">
      <c r="A295" s="71">
        <v>137.5</v>
      </c>
      <c r="B295" s="72">
        <v>4657.76</v>
      </c>
      <c r="C295" s="73">
        <v>7466.69</v>
      </c>
      <c r="D295" s="73">
        <v>9037.4500000000007</v>
      </c>
      <c r="E295" s="73">
        <v>12098.28</v>
      </c>
      <c r="F295" s="73">
        <v>8780.23</v>
      </c>
      <c r="G295" s="73">
        <v>9262.43</v>
      </c>
      <c r="H295" s="74">
        <v>15987.09</v>
      </c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</row>
    <row r="296" spans="1:28" ht="12.75" customHeight="1">
      <c r="A296" s="65">
        <v>138</v>
      </c>
      <c r="B296" s="75">
        <v>4673.18</v>
      </c>
      <c r="C296" s="66">
        <v>7491.52</v>
      </c>
      <c r="D296" s="66">
        <v>9070.49</v>
      </c>
      <c r="E296" s="66">
        <v>12143.67</v>
      </c>
      <c r="F296" s="66">
        <v>8809.51</v>
      </c>
      <c r="G296" s="66">
        <v>9293.65</v>
      </c>
      <c r="H296" s="67">
        <v>16041.15</v>
      </c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</row>
    <row r="297" spans="1:28" ht="12.75" customHeight="1">
      <c r="A297" s="71">
        <v>138.5</v>
      </c>
      <c r="B297" s="72">
        <v>4688.6000000000004</v>
      </c>
      <c r="C297" s="73">
        <v>7516.35</v>
      </c>
      <c r="D297" s="73">
        <v>9103.5400000000009</v>
      </c>
      <c r="E297" s="73">
        <v>12189.05</v>
      </c>
      <c r="F297" s="73">
        <v>8838.7800000000007</v>
      </c>
      <c r="G297" s="73">
        <v>9324.8799999999992</v>
      </c>
      <c r="H297" s="74">
        <v>16095.21</v>
      </c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</row>
    <row r="298" spans="1:28" ht="12.75" customHeight="1">
      <c r="A298" s="65">
        <v>139</v>
      </c>
      <c r="B298" s="75">
        <v>4704.01</v>
      </c>
      <c r="C298" s="66">
        <v>7541.17</v>
      </c>
      <c r="D298" s="66">
        <v>9136.58</v>
      </c>
      <c r="E298" s="66">
        <v>12234.44</v>
      </c>
      <c r="F298" s="66">
        <v>8868.0499999999993</v>
      </c>
      <c r="G298" s="66">
        <v>9356.1</v>
      </c>
      <c r="H298" s="67">
        <v>16149.26</v>
      </c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  <c r="AB298" s="48"/>
    </row>
    <row r="299" spans="1:28" ht="12.75" customHeight="1">
      <c r="A299" s="71">
        <v>139.5</v>
      </c>
      <c r="B299" s="72">
        <v>4719.43</v>
      </c>
      <c r="C299" s="73">
        <v>7566</v>
      </c>
      <c r="D299" s="73">
        <v>9169.6299999999992</v>
      </c>
      <c r="E299" s="73">
        <v>12279.83</v>
      </c>
      <c r="F299" s="73">
        <v>8897.33</v>
      </c>
      <c r="G299" s="73">
        <v>9387.32</v>
      </c>
      <c r="H299" s="74">
        <v>16203.32</v>
      </c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  <c r="AB299" s="48"/>
    </row>
    <row r="300" spans="1:28" ht="12.75" customHeight="1">
      <c r="A300" s="65">
        <v>140</v>
      </c>
      <c r="B300" s="75">
        <v>4734.84</v>
      </c>
      <c r="C300" s="66">
        <v>7590.82</v>
      </c>
      <c r="D300" s="66">
        <v>9202.68</v>
      </c>
      <c r="E300" s="66">
        <v>12325.22</v>
      </c>
      <c r="F300" s="66">
        <v>8926.6</v>
      </c>
      <c r="G300" s="66">
        <v>9418.5400000000009</v>
      </c>
      <c r="H300" s="67">
        <v>16257.38</v>
      </c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  <c r="AB300" s="48"/>
    </row>
    <row r="301" spans="1:28" ht="12.75" customHeight="1">
      <c r="A301" s="71">
        <v>140.5</v>
      </c>
      <c r="B301" s="72">
        <v>4750.26</v>
      </c>
      <c r="C301" s="73">
        <v>7615.65</v>
      </c>
      <c r="D301" s="73">
        <v>9235.7199999999993</v>
      </c>
      <c r="E301" s="73">
        <v>12370.6</v>
      </c>
      <c r="F301" s="73">
        <v>8955.8799999999992</v>
      </c>
      <c r="G301" s="73">
        <v>9449.76</v>
      </c>
      <c r="H301" s="74">
        <v>16311.44</v>
      </c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  <c r="AB301" s="48"/>
    </row>
    <row r="302" spans="1:28" ht="12.75" customHeight="1">
      <c r="A302" s="65">
        <v>141</v>
      </c>
      <c r="B302" s="75">
        <v>4765.68</v>
      </c>
      <c r="C302" s="66">
        <v>7640.47</v>
      </c>
      <c r="D302" s="66">
        <v>9268.77</v>
      </c>
      <c r="E302" s="66">
        <v>12415.99</v>
      </c>
      <c r="F302" s="66">
        <v>8985.15</v>
      </c>
      <c r="G302" s="66">
        <v>9480.98</v>
      </c>
      <c r="H302" s="67">
        <v>16365.5</v>
      </c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48"/>
    </row>
    <row r="303" spans="1:28" ht="12.75" customHeight="1">
      <c r="A303" s="71">
        <v>141.5</v>
      </c>
      <c r="B303" s="72">
        <v>4781.09</v>
      </c>
      <c r="C303" s="73">
        <v>7665.3</v>
      </c>
      <c r="D303" s="73">
        <v>9301.81</v>
      </c>
      <c r="E303" s="73">
        <v>12461.38</v>
      </c>
      <c r="F303" s="73">
        <v>9014.42</v>
      </c>
      <c r="G303" s="73">
        <v>9512.2099999999991</v>
      </c>
      <c r="H303" s="74">
        <v>16419.560000000001</v>
      </c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  <c r="AB303" s="48"/>
    </row>
    <row r="304" spans="1:28" ht="12.75" customHeight="1">
      <c r="A304" s="65">
        <v>142</v>
      </c>
      <c r="B304" s="75">
        <v>4796.51</v>
      </c>
      <c r="C304" s="66">
        <v>7690.12</v>
      </c>
      <c r="D304" s="66">
        <v>9334.86</v>
      </c>
      <c r="E304" s="66">
        <v>12506.76</v>
      </c>
      <c r="F304" s="66">
        <v>9043.7000000000007</v>
      </c>
      <c r="G304" s="66">
        <v>9543.43</v>
      </c>
      <c r="H304" s="67">
        <v>16473.62</v>
      </c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  <c r="AB304" s="48"/>
    </row>
    <row r="305" spans="1:28" ht="12.75" customHeight="1">
      <c r="A305" s="71">
        <v>142.5</v>
      </c>
      <c r="B305" s="72">
        <v>4811.92</v>
      </c>
      <c r="C305" s="73">
        <v>7714.95</v>
      </c>
      <c r="D305" s="73">
        <v>9367.91</v>
      </c>
      <c r="E305" s="73">
        <v>12552.15</v>
      </c>
      <c r="F305" s="73">
        <v>9072.9699999999993</v>
      </c>
      <c r="G305" s="73">
        <v>9574.65</v>
      </c>
      <c r="H305" s="74">
        <v>16527.669999999998</v>
      </c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  <c r="AB305" s="48"/>
    </row>
    <row r="306" spans="1:28" ht="12.75" customHeight="1">
      <c r="A306" s="65">
        <v>143</v>
      </c>
      <c r="B306" s="75">
        <v>4827.34</v>
      </c>
      <c r="C306" s="66">
        <v>7739.78</v>
      </c>
      <c r="D306" s="66">
        <v>9400.9500000000007</v>
      </c>
      <c r="E306" s="66">
        <v>12597.54</v>
      </c>
      <c r="F306" s="66">
        <v>9102.25</v>
      </c>
      <c r="G306" s="66">
        <v>9605.8700000000008</v>
      </c>
      <c r="H306" s="67">
        <v>16581.73</v>
      </c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  <c r="AB306" s="48"/>
    </row>
    <row r="307" spans="1:28" ht="12.75" customHeight="1">
      <c r="A307" s="71">
        <v>143.5</v>
      </c>
      <c r="B307" s="72">
        <v>4842.76</v>
      </c>
      <c r="C307" s="73">
        <v>7764.6</v>
      </c>
      <c r="D307" s="73">
        <v>9434</v>
      </c>
      <c r="E307" s="73">
        <v>12642.92</v>
      </c>
      <c r="F307" s="73">
        <v>9131.52</v>
      </c>
      <c r="G307" s="73">
        <v>9637.09</v>
      </c>
      <c r="H307" s="74">
        <v>16635.79</v>
      </c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48"/>
    </row>
    <row r="308" spans="1:28" ht="12.75" customHeight="1">
      <c r="A308" s="65">
        <v>144</v>
      </c>
      <c r="B308" s="75">
        <v>4858.17</v>
      </c>
      <c r="C308" s="66">
        <v>7789.43</v>
      </c>
      <c r="D308" s="66">
        <v>9467.0400000000009</v>
      </c>
      <c r="E308" s="66">
        <v>12688.31</v>
      </c>
      <c r="F308" s="66">
        <v>9160.7900000000009</v>
      </c>
      <c r="G308" s="66">
        <v>9668.31</v>
      </c>
      <c r="H308" s="67">
        <v>16689.849999999999</v>
      </c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48"/>
    </row>
    <row r="309" spans="1:28" ht="12.75" customHeight="1">
      <c r="A309" s="71">
        <v>144.5</v>
      </c>
      <c r="B309" s="72">
        <v>4873.59</v>
      </c>
      <c r="C309" s="73">
        <v>7814.25</v>
      </c>
      <c r="D309" s="73">
        <v>9500.09</v>
      </c>
      <c r="E309" s="73">
        <v>12733.7</v>
      </c>
      <c r="F309" s="73">
        <v>9190.07</v>
      </c>
      <c r="G309" s="73">
        <v>9699.5300000000007</v>
      </c>
      <c r="H309" s="74">
        <v>16743.91</v>
      </c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48"/>
    </row>
    <row r="310" spans="1:28" ht="12.75" customHeight="1">
      <c r="A310" s="65">
        <v>145</v>
      </c>
      <c r="B310" s="75">
        <v>4889</v>
      </c>
      <c r="C310" s="66">
        <v>7839.08</v>
      </c>
      <c r="D310" s="66">
        <v>9533.14</v>
      </c>
      <c r="E310" s="66">
        <v>12779.09</v>
      </c>
      <c r="F310" s="66">
        <v>9219.34</v>
      </c>
      <c r="G310" s="66">
        <v>9730.76</v>
      </c>
      <c r="H310" s="67">
        <v>16797.97</v>
      </c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48"/>
    </row>
    <row r="311" spans="1:28" ht="12.75" customHeight="1">
      <c r="A311" s="71">
        <v>145.5</v>
      </c>
      <c r="B311" s="72">
        <v>4904.42</v>
      </c>
      <c r="C311" s="73">
        <v>7863.9</v>
      </c>
      <c r="D311" s="73">
        <v>9566.18</v>
      </c>
      <c r="E311" s="73">
        <v>12824.47</v>
      </c>
      <c r="F311" s="73">
        <v>9248.6200000000008</v>
      </c>
      <c r="G311" s="73">
        <v>9761.98</v>
      </c>
      <c r="H311" s="74">
        <v>16852.03</v>
      </c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48"/>
    </row>
    <row r="312" spans="1:28" ht="12.75" customHeight="1">
      <c r="A312" s="65">
        <v>146</v>
      </c>
      <c r="B312" s="75">
        <v>4919.84</v>
      </c>
      <c r="C312" s="66">
        <v>7888.73</v>
      </c>
      <c r="D312" s="66">
        <v>9599.23</v>
      </c>
      <c r="E312" s="66">
        <v>12869.86</v>
      </c>
      <c r="F312" s="66">
        <v>9277.89</v>
      </c>
      <c r="G312" s="66">
        <v>9793.2000000000007</v>
      </c>
      <c r="H312" s="67">
        <v>16906.080000000002</v>
      </c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</row>
    <row r="313" spans="1:28" ht="12.75" customHeight="1">
      <c r="A313" s="71">
        <v>146.5</v>
      </c>
      <c r="B313" s="72">
        <v>4935.25</v>
      </c>
      <c r="C313" s="73">
        <v>7913.55</v>
      </c>
      <c r="D313" s="73">
        <v>9632.27</v>
      </c>
      <c r="E313" s="73">
        <v>12915.25</v>
      </c>
      <c r="F313" s="73">
        <v>9307.16</v>
      </c>
      <c r="G313" s="73">
        <v>9824.42</v>
      </c>
      <c r="H313" s="74">
        <v>16960.14</v>
      </c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</row>
    <row r="314" spans="1:28" ht="12.75" customHeight="1">
      <c r="A314" s="65">
        <v>147</v>
      </c>
      <c r="B314" s="75">
        <v>4950.67</v>
      </c>
      <c r="C314" s="66">
        <v>7938.38</v>
      </c>
      <c r="D314" s="66">
        <v>9665.32</v>
      </c>
      <c r="E314" s="66">
        <v>12960.63</v>
      </c>
      <c r="F314" s="66">
        <v>9336.44</v>
      </c>
      <c r="G314" s="66">
        <v>9855.64</v>
      </c>
      <c r="H314" s="67">
        <v>17014.2</v>
      </c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  <c r="AB314" s="48"/>
    </row>
    <row r="315" spans="1:28" ht="12.75" customHeight="1">
      <c r="A315" s="71">
        <v>147.5</v>
      </c>
      <c r="B315" s="72">
        <v>4966.08</v>
      </c>
      <c r="C315" s="73">
        <v>7963.2</v>
      </c>
      <c r="D315" s="73">
        <v>9698.3700000000008</v>
      </c>
      <c r="E315" s="73">
        <v>13006.02</v>
      </c>
      <c r="F315" s="73">
        <v>9365.7099999999991</v>
      </c>
      <c r="G315" s="73">
        <v>9886.86</v>
      </c>
      <c r="H315" s="74">
        <v>17068.259999999998</v>
      </c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  <c r="AB315" s="48"/>
    </row>
    <row r="316" spans="1:28" ht="12.75" customHeight="1">
      <c r="A316" s="65">
        <v>148</v>
      </c>
      <c r="B316" s="75">
        <v>4981.5</v>
      </c>
      <c r="C316" s="66">
        <v>7988.03</v>
      </c>
      <c r="D316" s="66">
        <v>9731.41</v>
      </c>
      <c r="E316" s="66">
        <v>13051.41</v>
      </c>
      <c r="F316" s="66">
        <v>9394.99</v>
      </c>
      <c r="G316" s="66">
        <v>9918.08</v>
      </c>
      <c r="H316" s="67">
        <v>17122.32</v>
      </c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  <c r="AB316" s="48"/>
    </row>
    <row r="317" spans="1:28" ht="12.75" customHeight="1">
      <c r="A317" s="71">
        <v>148.5</v>
      </c>
      <c r="B317" s="72">
        <v>4996.92</v>
      </c>
      <c r="C317" s="73">
        <v>8012.86</v>
      </c>
      <c r="D317" s="73">
        <v>9764.4599999999991</v>
      </c>
      <c r="E317" s="73">
        <v>13096.79</v>
      </c>
      <c r="F317" s="73">
        <v>9424.26</v>
      </c>
      <c r="G317" s="73">
        <v>9949.31</v>
      </c>
      <c r="H317" s="74">
        <v>17176.38</v>
      </c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</row>
    <row r="318" spans="1:28" ht="12.75" customHeight="1">
      <c r="A318" s="65">
        <v>149</v>
      </c>
      <c r="B318" s="75">
        <v>5012.33</v>
      </c>
      <c r="C318" s="66">
        <v>8037.68</v>
      </c>
      <c r="D318" s="66">
        <v>9797.5</v>
      </c>
      <c r="E318" s="66">
        <v>13142.18</v>
      </c>
      <c r="F318" s="66">
        <v>9453.5300000000007</v>
      </c>
      <c r="G318" s="66">
        <v>9980.5300000000007</v>
      </c>
      <c r="H318" s="67">
        <v>17230.43</v>
      </c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</row>
    <row r="319" spans="1:28" ht="12.75" customHeight="1">
      <c r="A319" s="71">
        <v>149.5</v>
      </c>
      <c r="B319" s="72">
        <v>5027.75</v>
      </c>
      <c r="C319" s="73">
        <v>8062.51</v>
      </c>
      <c r="D319" s="73">
        <v>9830.5499999999993</v>
      </c>
      <c r="E319" s="73">
        <v>13187.57</v>
      </c>
      <c r="F319" s="73">
        <v>9482.81</v>
      </c>
      <c r="G319" s="73">
        <v>10011.75</v>
      </c>
      <c r="H319" s="74">
        <v>17284.490000000002</v>
      </c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</row>
    <row r="320" spans="1:28" ht="12.75" customHeight="1">
      <c r="A320" s="65">
        <v>150</v>
      </c>
      <c r="B320" s="75">
        <v>5043.16</v>
      </c>
      <c r="C320" s="66">
        <v>8087.33</v>
      </c>
      <c r="D320" s="66">
        <v>9863.6</v>
      </c>
      <c r="E320" s="66">
        <v>13232.96</v>
      </c>
      <c r="F320" s="66">
        <v>9512.08</v>
      </c>
      <c r="G320" s="66">
        <v>10042.969999999999</v>
      </c>
      <c r="H320" s="67">
        <v>17338.55</v>
      </c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  <c r="AB320" s="48"/>
    </row>
    <row r="321" spans="1:28" ht="12.75" customHeight="1">
      <c r="A321" s="71">
        <v>150.5</v>
      </c>
      <c r="B321" s="72">
        <v>5058.58</v>
      </c>
      <c r="C321" s="73">
        <v>8112.16</v>
      </c>
      <c r="D321" s="73">
        <v>9896.64</v>
      </c>
      <c r="E321" s="73">
        <v>13278.34</v>
      </c>
      <c r="F321" s="73">
        <v>9541.36</v>
      </c>
      <c r="G321" s="73">
        <v>10074.19</v>
      </c>
      <c r="H321" s="74">
        <v>17392.61</v>
      </c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</row>
    <row r="322" spans="1:28" ht="12.75" customHeight="1">
      <c r="A322" s="65">
        <v>151</v>
      </c>
      <c r="B322" s="75">
        <v>5074</v>
      </c>
      <c r="C322" s="66">
        <v>8136.98</v>
      </c>
      <c r="D322" s="66">
        <v>9929.69</v>
      </c>
      <c r="E322" s="66">
        <v>13323.73</v>
      </c>
      <c r="F322" s="66">
        <v>9570.6299999999992</v>
      </c>
      <c r="G322" s="66">
        <v>10105.41</v>
      </c>
      <c r="H322" s="67">
        <v>17446.669999999998</v>
      </c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  <c r="AB322" s="48"/>
    </row>
    <row r="323" spans="1:28" ht="12.75" customHeight="1">
      <c r="A323" s="71">
        <v>151.5</v>
      </c>
      <c r="B323" s="72">
        <v>5089.41</v>
      </c>
      <c r="C323" s="73">
        <v>8161.81</v>
      </c>
      <c r="D323" s="73">
        <v>9962.73</v>
      </c>
      <c r="E323" s="73">
        <v>13369.12</v>
      </c>
      <c r="F323" s="73">
        <v>9599.9</v>
      </c>
      <c r="G323" s="73">
        <v>10136.64</v>
      </c>
      <c r="H323" s="74">
        <v>17500.73</v>
      </c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</row>
    <row r="324" spans="1:28" ht="12.75" customHeight="1">
      <c r="A324" s="65">
        <v>152</v>
      </c>
      <c r="B324" s="75">
        <v>5104.83</v>
      </c>
      <c r="C324" s="66">
        <v>8186.63</v>
      </c>
      <c r="D324" s="66">
        <v>9995.7800000000007</v>
      </c>
      <c r="E324" s="66">
        <v>13414.5</v>
      </c>
      <c r="F324" s="66">
        <v>9629.18</v>
      </c>
      <c r="G324" s="66">
        <v>10167.86</v>
      </c>
      <c r="H324" s="67">
        <v>17554.79</v>
      </c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</row>
    <row r="325" spans="1:28" ht="12.75" customHeight="1">
      <c r="A325" s="71">
        <v>152.5</v>
      </c>
      <c r="B325" s="72">
        <v>5120.24</v>
      </c>
      <c r="C325" s="73">
        <v>8211.4599999999991</v>
      </c>
      <c r="D325" s="73">
        <v>10028.83</v>
      </c>
      <c r="E325" s="73">
        <v>13459.89</v>
      </c>
      <c r="F325" s="73">
        <v>9658.4500000000007</v>
      </c>
      <c r="G325" s="73">
        <v>10199.08</v>
      </c>
      <c r="H325" s="74">
        <v>17608.84</v>
      </c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</row>
    <row r="326" spans="1:28" ht="12.75" customHeight="1">
      <c r="A326" s="65">
        <v>153</v>
      </c>
      <c r="B326" s="75">
        <v>5135.66</v>
      </c>
      <c r="C326" s="66">
        <v>8236.2900000000009</v>
      </c>
      <c r="D326" s="66">
        <v>10061.870000000001</v>
      </c>
      <c r="E326" s="66">
        <v>13505.28</v>
      </c>
      <c r="F326" s="66">
        <v>9687.73</v>
      </c>
      <c r="G326" s="66">
        <v>10230.299999999999</v>
      </c>
      <c r="H326" s="67">
        <v>17662.900000000001</v>
      </c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48"/>
    </row>
    <row r="327" spans="1:28" ht="12.75" customHeight="1">
      <c r="A327" s="71">
        <v>153.5</v>
      </c>
      <c r="B327" s="72">
        <v>5151.08</v>
      </c>
      <c r="C327" s="73">
        <v>8261.11</v>
      </c>
      <c r="D327" s="73">
        <v>10094.92</v>
      </c>
      <c r="E327" s="73">
        <v>13550.66</v>
      </c>
      <c r="F327" s="73">
        <v>9717</v>
      </c>
      <c r="G327" s="73">
        <v>10261.52</v>
      </c>
      <c r="H327" s="74">
        <v>17716.96</v>
      </c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  <c r="AB327" s="48"/>
    </row>
    <row r="328" spans="1:28" ht="12.75" customHeight="1">
      <c r="A328" s="65">
        <v>154</v>
      </c>
      <c r="B328" s="75">
        <v>5166.49</v>
      </c>
      <c r="C328" s="66">
        <v>8285.94</v>
      </c>
      <c r="D328" s="66">
        <v>10127.959999999999</v>
      </c>
      <c r="E328" s="66">
        <v>13596.05</v>
      </c>
      <c r="F328" s="66">
        <v>9746.27</v>
      </c>
      <c r="G328" s="66">
        <v>10292.74</v>
      </c>
      <c r="H328" s="67">
        <v>17771.02</v>
      </c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  <c r="AB328" s="48"/>
    </row>
    <row r="329" spans="1:28" ht="12.75" customHeight="1">
      <c r="A329" s="71">
        <v>154.5</v>
      </c>
      <c r="B329" s="72">
        <v>5181.91</v>
      </c>
      <c r="C329" s="73">
        <v>8310.76</v>
      </c>
      <c r="D329" s="73">
        <v>10161.01</v>
      </c>
      <c r="E329" s="73">
        <v>13641.44</v>
      </c>
      <c r="F329" s="73">
        <v>9775.5499999999993</v>
      </c>
      <c r="G329" s="73">
        <v>10323.959999999999</v>
      </c>
      <c r="H329" s="74">
        <v>17825.080000000002</v>
      </c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</row>
    <row r="330" spans="1:28" ht="12.75" customHeight="1">
      <c r="A330" s="65">
        <v>155</v>
      </c>
      <c r="B330" s="75">
        <v>5197.32</v>
      </c>
      <c r="C330" s="66">
        <v>8335.59</v>
      </c>
      <c r="D330" s="66">
        <v>10194.06</v>
      </c>
      <c r="E330" s="66">
        <v>13686.83</v>
      </c>
      <c r="F330" s="66">
        <v>9804.82</v>
      </c>
      <c r="G330" s="66">
        <v>10355.19</v>
      </c>
      <c r="H330" s="67">
        <v>17879.14</v>
      </c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</row>
    <row r="331" spans="1:28" ht="12.75" customHeight="1">
      <c r="A331" s="71">
        <v>155.5</v>
      </c>
      <c r="B331" s="72">
        <v>5212.74</v>
      </c>
      <c r="C331" s="73">
        <v>8360.41</v>
      </c>
      <c r="D331" s="73">
        <v>10227.1</v>
      </c>
      <c r="E331" s="73">
        <v>13732.21</v>
      </c>
      <c r="F331" s="73">
        <v>9834.1</v>
      </c>
      <c r="G331" s="73">
        <v>10386.41</v>
      </c>
      <c r="H331" s="74">
        <v>17933.2</v>
      </c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</row>
    <row r="332" spans="1:28" ht="12.75" customHeight="1">
      <c r="A332" s="65">
        <v>156</v>
      </c>
      <c r="B332" s="75">
        <v>5228.16</v>
      </c>
      <c r="C332" s="66">
        <v>8385.24</v>
      </c>
      <c r="D332" s="66">
        <v>10260.15</v>
      </c>
      <c r="E332" s="66">
        <v>13777.6</v>
      </c>
      <c r="F332" s="66">
        <v>9863.3700000000008</v>
      </c>
      <c r="G332" s="66">
        <v>10417.629999999999</v>
      </c>
      <c r="H332" s="67">
        <v>17987.25</v>
      </c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  <c r="AB332" s="48"/>
    </row>
    <row r="333" spans="1:28" ht="12.75" customHeight="1">
      <c r="A333" s="71">
        <v>156.5</v>
      </c>
      <c r="B333" s="72">
        <v>5243.57</v>
      </c>
      <c r="C333" s="73">
        <v>8410.06</v>
      </c>
      <c r="D333" s="73">
        <v>10293.19</v>
      </c>
      <c r="E333" s="73">
        <v>13822.99</v>
      </c>
      <c r="F333" s="73">
        <v>9892.64</v>
      </c>
      <c r="G333" s="73">
        <v>10448.85</v>
      </c>
      <c r="H333" s="74">
        <v>18041.310000000001</v>
      </c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</row>
    <row r="334" spans="1:28" ht="12.75" customHeight="1">
      <c r="A334" s="65">
        <v>157</v>
      </c>
      <c r="B334" s="75">
        <v>5258.99</v>
      </c>
      <c r="C334" s="66">
        <v>8434.89</v>
      </c>
      <c r="D334" s="66">
        <v>10326.24</v>
      </c>
      <c r="E334" s="66">
        <v>13868.37</v>
      </c>
      <c r="F334" s="66">
        <v>9921.92</v>
      </c>
      <c r="G334" s="66">
        <v>10480.07</v>
      </c>
      <c r="H334" s="67">
        <v>18095.37</v>
      </c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48"/>
    </row>
    <row r="335" spans="1:28" ht="12.75" customHeight="1">
      <c r="A335" s="71">
        <v>157.5</v>
      </c>
      <c r="B335" s="72">
        <v>5274.4</v>
      </c>
      <c r="C335" s="73">
        <v>8459.7099999999991</v>
      </c>
      <c r="D335" s="73">
        <v>10359.290000000001</v>
      </c>
      <c r="E335" s="73">
        <v>13913.76</v>
      </c>
      <c r="F335" s="73">
        <v>9951.19</v>
      </c>
      <c r="G335" s="73">
        <v>10511.29</v>
      </c>
      <c r="H335" s="74">
        <v>18149.43</v>
      </c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</row>
    <row r="336" spans="1:28" ht="12.75" customHeight="1">
      <c r="A336" s="65">
        <v>158</v>
      </c>
      <c r="B336" s="75">
        <v>5289.82</v>
      </c>
      <c r="C336" s="66">
        <v>8484.5400000000009</v>
      </c>
      <c r="D336" s="66">
        <v>10392.33</v>
      </c>
      <c r="E336" s="66">
        <v>13959.15</v>
      </c>
      <c r="F336" s="66">
        <v>9980.4699999999993</v>
      </c>
      <c r="G336" s="66">
        <v>10542.51</v>
      </c>
      <c r="H336" s="67">
        <v>18203.490000000002</v>
      </c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</row>
    <row r="337" spans="1:28" ht="12.75" customHeight="1">
      <c r="A337" s="71">
        <v>158.5</v>
      </c>
      <c r="B337" s="72">
        <v>5305.24</v>
      </c>
      <c r="C337" s="73">
        <v>8509.3700000000008</v>
      </c>
      <c r="D337" s="73">
        <v>10425.379999999999</v>
      </c>
      <c r="E337" s="73">
        <v>14004.53</v>
      </c>
      <c r="F337" s="73">
        <v>10009.74</v>
      </c>
      <c r="G337" s="73">
        <v>10573.74</v>
      </c>
      <c r="H337" s="74">
        <v>18257.55</v>
      </c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</row>
    <row r="338" spans="1:28" ht="12.75" customHeight="1">
      <c r="A338" s="65">
        <v>159</v>
      </c>
      <c r="B338" s="75">
        <v>5320.65</v>
      </c>
      <c r="C338" s="66">
        <v>8534.19</v>
      </c>
      <c r="D338" s="66">
        <v>10458.42</v>
      </c>
      <c r="E338" s="66">
        <v>14049.92</v>
      </c>
      <c r="F338" s="66">
        <v>10039.01</v>
      </c>
      <c r="G338" s="66">
        <v>10604.96</v>
      </c>
      <c r="H338" s="67">
        <v>18311.599999999999</v>
      </c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  <c r="AB338" s="48"/>
    </row>
    <row r="339" spans="1:28" ht="12.75" customHeight="1">
      <c r="A339" s="71">
        <v>159.5</v>
      </c>
      <c r="B339" s="72">
        <v>5336.07</v>
      </c>
      <c r="C339" s="73">
        <v>8559.02</v>
      </c>
      <c r="D339" s="73">
        <v>10491.47</v>
      </c>
      <c r="E339" s="73">
        <v>14095.31</v>
      </c>
      <c r="F339" s="73">
        <v>10068.290000000001</v>
      </c>
      <c r="G339" s="73">
        <v>10636.18</v>
      </c>
      <c r="H339" s="74">
        <v>18365.66</v>
      </c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</row>
    <row r="340" spans="1:28" ht="12.75" customHeight="1">
      <c r="A340" s="65">
        <v>160</v>
      </c>
      <c r="B340" s="75">
        <v>5351.48</v>
      </c>
      <c r="C340" s="66">
        <v>8583.84</v>
      </c>
      <c r="D340" s="66">
        <v>10524.52</v>
      </c>
      <c r="E340" s="66">
        <v>14140.7</v>
      </c>
      <c r="F340" s="66">
        <v>10097.56</v>
      </c>
      <c r="G340" s="66">
        <v>10667.4</v>
      </c>
      <c r="H340" s="67">
        <v>18419.72</v>
      </c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  <c r="AB340" s="48"/>
    </row>
    <row r="341" spans="1:28" ht="12.75" customHeight="1">
      <c r="A341" s="71">
        <v>160.5</v>
      </c>
      <c r="B341" s="72">
        <v>5366.9</v>
      </c>
      <c r="C341" s="73">
        <v>8608.67</v>
      </c>
      <c r="D341" s="73">
        <v>10557.56</v>
      </c>
      <c r="E341" s="73">
        <v>14186.08</v>
      </c>
      <c r="F341" s="73">
        <v>10126.84</v>
      </c>
      <c r="G341" s="73">
        <v>10698.62</v>
      </c>
      <c r="H341" s="74">
        <v>18473.78</v>
      </c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</row>
    <row r="342" spans="1:28" ht="12.75" customHeight="1">
      <c r="A342" s="65">
        <v>161</v>
      </c>
      <c r="B342" s="75">
        <v>5382.32</v>
      </c>
      <c r="C342" s="66">
        <v>8633.49</v>
      </c>
      <c r="D342" s="66">
        <v>10590.61</v>
      </c>
      <c r="E342" s="66">
        <v>14231.47</v>
      </c>
      <c r="F342" s="66">
        <v>10156.11</v>
      </c>
      <c r="G342" s="66">
        <v>10729.84</v>
      </c>
      <c r="H342" s="67">
        <v>18527.84</v>
      </c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</row>
    <row r="343" spans="1:28" ht="12.75" customHeight="1">
      <c r="A343" s="71">
        <v>161.5</v>
      </c>
      <c r="B343" s="72">
        <v>5397.73</v>
      </c>
      <c r="C343" s="73">
        <v>8658.32</v>
      </c>
      <c r="D343" s="73">
        <v>10623.65</v>
      </c>
      <c r="E343" s="73">
        <v>14276.86</v>
      </c>
      <c r="F343" s="73">
        <v>10185.379999999999</v>
      </c>
      <c r="G343" s="73">
        <v>10761.07</v>
      </c>
      <c r="H343" s="74">
        <v>18581.900000000001</v>
      </c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</row>
    <row r="344" spans="1:28" ht="12.75" customHeight="1">
      <c r="A344" s="65">
        <v>162</v>
      </c>
      <c r="B344" s="75">
        <v>5413.15</v>
      </c>
      <c r="C344" s="66">
        <v>8683.14</v>
      </c>
      <c r="D344" s="66">
        <v>10656.7</v>
      </c>
      <c r="E344" s="66">
        <v>14322.24</v>
      </c>
      <c r="F344" s="66">
        <v>10214.66</v>
      </c>
      <c r="G344" s="66">
        <v>10792.29</v>
      </c>
      <c r="H344" s="67">
        <v>18635.96</v>
      </c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  <c r="AB344" s="48"/>
    </row>
    <row r="345" spans="1:28" ht="12.75" customHeight="1">
      <c r="A345" s="71">
        <v>162.5</v>
      </c>
      <c r="B345" s="72">
        <v>5428.56</v>
      </c>
      <c r="C345" s="73">
        <v>8707.9699999999993</v>
      </c>
      <c r="D345" s="73">
        <v>10689.75</v>
      </c>
      <c r="E345" s="73">
        <v>14367.63</v>
      </c>
      <c r="F345" s="73">
        <v>10243.93</v>
      </c>
      <c r="G345" s="73">
        <v>10823.51</v>
      </c>
      <c r="H345" s="74">
        <v>18690.009999999998</v>
      </c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</row>
    <row r="346" spans="1:28" ht="12.75" customHeight="1">
      <c r="A346" s="65">
        <v>163</v>
      </c>
      <c r="B346" s="75">
        <v>5443.98</v>
      </c>
      <c r="C346" s="66">
        <v>8732.7999999999993</v>
      </c>
      <c r="D346" s="66">
        <v>10722.79</v>
      </c>
      <c r="E346" s="66">
        <v>14413.02</v>
      </c>
      <c r="F346" s="66">
        <v>10273.209999999999</v>
      </c>
      <c r="G346" s="66">
        <v>10854.73</v>
      </c>
      <c r="H346" s="67">
        <v>18744.07</v>
      </c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</row>
    <row r="347" spans="1:28" ht="12.75" customHeight="1">
      <c r="A347" s="71">
        <v>163.5</v>
      </c>
      <c r="B347" s="72">
        <v>5459.4</v>
      </c>
      <c r="C347" s="73">
        <v>8757.6200000000008</v>
      </c>
      <c r="D347" s="73">
        <v>10755.84</v>
      </c>
      <c r="E347" s="73">
        <v>14458.4</v>
      </c>
      <c r="F347" s="73">
        <v>10302.48</v>
      </c>
      <c r="G347" s="73">
        <v>10885.95</v>
      </c>
      <c r="H347" s="74">
        <v>18798.13</v>
      </c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</row>
    <row r="348" spans="1:28" ht="12.75" customHeight="1">
      <c r="A348" s="65">
        <v>164</v>
      </c>
      <c r="B348" s="75">
        <v>5474.81</v>
      </c>
      <c r="C348" s="66">
        <v>8782.4500000000007</v>
      </c>
      <c r="D348" s="66">
        <v>10788.88</v>
      </c>
      <c r="E348" s="66">
        <v>14503.79</v>
      </c>
      <c r="F348" s="66">
        <v>10331.75</v>
      </c>
      <c r="G348" s="66">
        <v>10917.17</v>
      </c>
      <c r="H348" s="67">
        <v>18852.189999999999</v>
      </c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</row>
    <row r="349" spans="1:28" ht="12.75" customHeight="1">
      <c r="A349" s="71">
        <v>164.5</v>
      </c>
      <c r="B349" s="72">
        <v>5490.23</v>
      </c>
      <c r="C349" s="73">
        <v>8807.27</v>
      </c>
      <c r="D349" s="73">
        <v>10821.93</v>
      </c>
      <c r="E349" s="73">
        <v>14549.18</v>
      </c>
      <c r="F349" s="73">
        <v>10361.030000000001</v>
      </c>
      <c r="G349" s="73">
        <v>10948.39</v>
      </c>
      <c r="H349" s="74">
        <v>18906.25</v>
      </c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</row>
    <row r="350" spans="1:28" ht="12.75" customHeight="1">
      <c r="A350" s="65">
        <v>165</v>
      </c>
      <c r="B350" s="75">
        <v>5505.64</v>
      </c>
      <c r="C350" s="66">
        <v>8832.1</v>
      </c>
      <c r="D350" s="66">
        <v>10854.98</v>
      </c>
      <c r="E350" s="66">
        <v>14594.57</v>
      </c>
      <c r="F350" s="66">
        <v>10390.299999999999</v>
      </c>
      <c r="G350" s="66">
        <v>10979.62</v>
      </c>
      <c r="H350" s="67">
        <v>18960.310000000001</v>
      </c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  <c r="AB350" s="48"/>
    </row>
    <row r="351" spans="1:28" ht="12.75" customHeight="1">
      <c r="A351" s="71">
        <v>165.5</v>
      </c>
      <c r="B351" s="72">
        <v>5521.06</v>
      </c>
      <c r="C351" s="73">
        <v>8856.92</v>
      </c>
      <c r="D351" s="73">
        <v>10888.02</v>
      </c>
      <c r="E351" s="73">
        <v>14639.95</v>
      </c>
      <c r="F351" s="73">
        <v>10419.58</v>
      </c>
      <c r="G351" s="73">
        <v>11010.84</v>
      </c>
      <c r="H351" s="74">
        <v>19014.37</v>
      </c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</row>
    <row r="352" spans="1:28" ht="12.75" customHeight="1">
      <c r="A352" s="65">
        <v>166</v>
      </c>
      <c r="B352" s="75">
        <v>5536.48</v>
      </c>
      <c r="C352" s="66">
        <v>8881.75</v>
      </c>
      <c r="D352" s="66">
        <v>10921.07</v>
      </c>
      <c r="E352" s="66">
        <v>14685.34</v>
      </c>
      <c r="F352" s="66">
        <v>10448.85</v>
      </c>
      <c r="G352" s="66">
        <v>11042.06</v>
      </c>
      <c r="H352" s="67">
        <v>19068.419999999998</v>
      </c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48"/>
    </row>
    <row r="353" spans="1:28" ht="12.75" customHeight="1">
      <c r="A353" s="71">
        <v>166.5</v>
      </c>
      <c r="B353" s="72">
        <v>5551.89</v>
      </c>
      <c r="C353" s="73">
        <v>8906.57</v>
      </c>
      <c r="D353" s="73">
        <v>10954.11</v>
      </c>
      <c r="E353" s="73">
        <v>14730.73</v>
      </c>
      <c r="F353" s="73">
        <v>10478.120000000001</v>
      </c>
      <c r="G353" s="73">
        <v>11073.28</v>
      </c>
      <c r="H353" s="74">
        <v>19122.48</v>
      </c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</row>
    <row r="354" spans="1:28" ht="12.75" customHeight="1">
      <c r="A354" s="65">
        <v>167</v>
      </c>
      <c r="B354" s="75">
        <v>5567.31</v>
      </c>
      <c r="C354" s="66">
        <v>8931.4</v>
      </c>
      <c r="D354" s="66">
        <v>10987.16</v>
      </c>
      <c r="E354" s="66">
        <v>14776.11</v>
      </c>
      <c r="F354" s="66">
        <v>10507.4</v>
      </c>
      <c r="G354" s="66">
        <v>11104.5</v>
      </c>
      <c r="H354" s="67">
        <v>19176.54</v>
      </c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</row>
    <row r="355" spans="1:28" ht="12.75" customHeight="1">
      <c r="A355" s="71">
        <v>167.5</v>
      </c>
      <c r="B355" s="72">
        <v>5582.72</v>
      </c>
      <c r="C355" s="73">
        <v>8956.2199999999993</v>
      </c>
      <c r="D355" s="73">
        <v>11020.21</v>
      </c>
      <c r="E355" s="73">
        <v>14821.5</v>
      </c>
      <c r="F355" s="73">
        <v>10536.67</v>
      </c>
      <c r="G355" s="73">
        <v>11135.72</v>
      </c>
      <c r="H355" s="74">
        <v>19230.599999999999</v>
      </c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</row>
    <row r="356" spans="1:28" ht="12.75" customHeight="1">
      <c r="A356" s="65">
        <v>168</v>
      </c>
      <c r="B356" s="75">
        <v>5598.14</v>
      </c>
      <c r="C356" s="66">
        <v>8981.0499999999993</v>
      </c>
      <c r="D356" s="66">
        <v>11053.25</v>
      </c>
      <c r="E356" s="66">
        <v>14866.89</v>
      </c>
      <c r="F356" s="66">
        <v>10565.95</v>
      </c>
      <c r="G356" s="66">
        <v>11166.94</v>
      </c>
      <c r="H356" s="67">
        <v>19284.66</v>
      </c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48"/>
    </row>
    <row r="357" spans="1:28" ht="12.75" customHeight="1">
      <c r="A357" s="71">
        <v>168.5</v>
      </c>
      <c r="B357" s="72">
        <v>5613.56</v>
      </c>
      <c r="C357" s="73">
        <v>9005.8799999999992</v>
      </c>
      <c r="D357" s="73">
        <v>11086.3</v>
      </c>
      <c r="E357" s="73">
        <v>14912.27</v>
      </c>
      <c r="F357" s="73">
        <v>10595.22</v>
      </c>
      <c r="G357" s="73">
        <v>11198.17</v>
      </c>
      <c r="H357" s="74">
        <v>19338.72</v>
      </c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</row>
    <row r="358" spans="1:28" ht="12.75" customHeight="1">
      <c r="A358" s="65">
        <v>169</v>
      </c>
      <c r="B358" s="75">
        <v>5628.97</v>
      </c>
      <c r="C358" s="66">
        <v>9030.7000000000007</v>
      </c>
      <c r="D358" s="66">
        <v>11119.34</v>
      </c>
      <c r="E358" s="66">
        <v>14957.66</v>
      </c>
      <c r="F358" s="66">
        <v>10624.49</v>
      </c>
      <c r="G358" s="66">
        <v>11229.39</v>
      </c>
      <c r="H358" s="67">
        <v>19392.77</v>
      </c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  <c r="AB358" s="48"/>
    </row>
    <row r="359" spans="1:28" ht="12.75" customHeight="1">
      <c r="A359" s="71">
        <v>169.5</v>
      </c>
      <c r="B359" s="72">
        <v>5644.39</v>
      </c>
      <c r="C359" s="73">
        <v>9055.5300000000007</v>
      </c>
      <c r="D359" s="73">
        <v>11152.39</v>
      </c>
      <c r="E359" s="73">
        <v>15003.05</v>
      </c>
      <c r="F359" s="73">
        <v>10653.77</v>
      </c>
      <c r="G359" s="73">
        <v>11260.61</v>
      </c>
      <c r="H359" s="74">
        <v>19446.830000000002</v>
      </c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</row>
    <row r="360" spans="1:28" ht="12.75" customHeight="1">
      <c r="A360" s="65">
        <v>170</v>
      </c>
      <c r="B360" s="75">
        <v>5659.8</v>
      </c>
      <c r="C360" s="66">
        <v>9080.35</v>
      </c>
      <c r="D360" s="66">
        <v>11185.44</v>
      </c>
      <c r="E360" s="66">
        <v>15048.44</v>
      </c>
      <c r="F360" s="66">
        <v>10683.04</v>
      </c>
      <c r="G360" s="66">
        <v>11291.83</v>
      </c>
      <c r="H360" s="67">
        <v>19500.89</v>
      </c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</row>
    <row r="361" spans="1:28" ht="12.75" customHeight="1">
      <c r="A361" s="71">
        <v>170.5</v>
      </c>
      <c r="B361" s="72">
        <v>5675.22</v>
      </c>
      <c r="C361" s="73">
        <v>9105.18</v>
      </c>
      <c r="D361" s="73">
        <v>11218.48</v>
      </c>
      <c r="E361" s="73">
        <v>15093.82</v>
      </c>
      <c r="F361" s="73">
        <v>10712.32</v>
      </c>
      <c r="G361" s="73">
        <v>11323.05</v>
      </c>
      <c r="H361" s="74">
        <v>19554.95</v>
      </c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</row>
    <row r="362" spans="1:28" ht="12.75" customHeight="1">
      <c r="A362" s="65">
        <v>171</v>
      </c>
      <c r="B362" s="75">
        <v>5690.64</v>
      </c>
      <c r="C362" s="66">
        <v>9130</v>
      </c>
      <c r="D362" s="66">
        <v>11251.53</v>
      </c>
      <c r="E362" s="66">
        <v>15139.21</v>
      </c>
      <c r="F362" s="66">
        <v>10741.59</v>
      </c>
      <c r="G362" s="66">
        <v>11354.27</v>
      </c>
      <c r="H362" s="67">
        <v>19609.009999999998</v>
      </c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</row>
    <row r="363" spans="1:28" ht="12.75" customHeight="1">
      <c r="A363" s="71">
        <v>171.5</v>
      </c>
      <c r="B363" s="72">
        <v>5706.05</v>
      </c>
      <c r="C363" s="73">
        <v>9154.83</v>
      </c>
      <c r="D363" s="73">
        <v>11284.57</v>
      </c>
      <c r="E363" s="73">
        <v>15184.6</v>
      </c>
      <c r="F363" s="73">
        <v>10770.86</v>
      </c>
      <c r="G363" s="73">
        <v>11385.5</v>
      </c>
      <c r="H363" s="74">
        <v>19663.07</v>
      </c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</row>
    <row r="364" spans="1:28" ht="12.75" customHeight="1">
      <c r="A364" s="65">
        <v>172</v>
      </c>
      <c r="B364" s="75">
        <v>5721.47</v>
      </c>
      <c r="C364" s="66">
        <v>9179.65</v>
      </c>
      <c r="D364" s="66">
        <v>11317.62</v>
      </c>
      <c r="E364" s="66">
        <v>15229.98</v>
      </c>
      <c r="F364" s="66">
        <v>10800.14</v>
      </c>
      <c r="G364" s="66">
        <v>11416.72</v>
      </c>
      <c r="H364" s="67">
        <v>19717.13</v>
      </c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</row>
    <row r="365" spans="1:28" ht="12.75" customHeight="1">
      <c r="A365" s="71">
        <v>172.5</v>
      </c>
      <c r="B365" s="72">
        <v>5736.88</v>
      </c>
      <c r="C365" s="73">
        <v>9204.48</v>
      </c>
      <c r="D365" s="73">
        <v>11350.67</v>
      </c>
      <c r="E365" s="73">
        <v>15275.37</v>
      </c>
      <c r="F365" s="73">
        <v>10829.41</v>
      </c>
      <c r="G365" s="73">
        <v>11447.94</v>
      </c>
      <c r="H365" s="74">
        <v>19771.18</v>
      </c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</row>
    <row r="366" spans="1:28" ht="12.75" customHeight="1">
      <c r="A366" s="65">
        <v>173</v>
      </c>
      <c r="B366" s="75">
        <v>5752.3</v>
      </c>
      <c r="C366" s="66">
        <v>9229.31</v>
      </c>
      <c r="D366" s="66">
        <v>11383.71</v>
      </c>
      <c r="E366" s="66">
        <v>15320.76</v>
      </c>
      <c r="F366" s="66">
        <v>10858.69</v>
      </c>
      <c r="G366" s="66">
        <v>11479.16</v>
      </c>
      <c r="H366" s="67">
        <v>19825.240000000002</v>
      </c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</row>
    <row r="367" spans="1:28" ht="12.75" customHeight="1">
      <c r="A367" s="71">
        <v>173.5</v>
      </c>
      <c r="B367" s="72">
        <v>5767.72</v>
      </c>
      <c r="C367" s="73">
        <v>9254.1299999999992</v>
      </c>
      <c r="D367" s="73">
        <v>11416.76</v>
      </c>
      <c r="E367" s="73">
        <v>15366.14</v>
      </c>
      <c r="F367" s="73">
        <v>10887.96</v>
      </c>
      <c r="G367" s="73">
        <v>11510.38</v>
      </c>
      <c r="H367" s="74">
        <v>19879.3</v>
      </c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</row>
    <row r="368" spans="1:28" ht="12.75" customHeight="1">
      <c r="A368" s="65">
        <v>174</v>
      </c>
      <c r="B368" s="75">
        <v>5783.13</v>
      </c>
      <c r="C368" s="66">
        <v>9278.9599999999991</v>
      </c>
      <c r="D368" s="66">
        <v>11449.8</v>
      </c>
      <c r="E368" s="66">
        <v>15411.53</v>
      </c>
      <c r="F368" s="66">
        <v>10917.23</v>
      </c>
      <c r="G368" s="66">
        <v>11541.6</v>
      </c>
      <c r="H368" s="67">
        <v>19933.36</v>
      </c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</row>
    <row r="369" spans="1:28" ht="12.75" customHeight="1">
      <c r="A369" s="71">
        <v>174.5</v>
      </c>
      <c r="B369" s="72">
        <v>5798.55</v>
      </c>
      <c r="C369" s="73">
        <v>9303.7800000000007</v>
      </c>
      <c r="D369" s="73">
        <v>11482.85</v>
      </c>
      <c r="E369" s="73">
        <v>15456.92</v>
      </c>
      <c r="F369" s="73">
        <v>10946.51</v>
      </c>
      <c r="G369" s="73">
        <v>11572.82</v>
      </c>
      <c r="H369" s="74">
        <v>19987.419999999998</v>
      </c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</row>
    <row r="370" spans="1:28" ht="12.75" customHeight="1">
      <c r="A370" s="65">
        <v>175</v>
      </c>
      <c r="B370" s="75">
        <v>5813.96</v>
      </c>
      <c r="C370" s="66">
        <v>9328.61</v>
      </c>
      <c r="D370" s="66">
        <v>11515.9</v>
      </c>
      <c r="E370" s="66">
        <v>15502.31</v>
      </c>
      <c r="F370" s="66">
        <v>10975.78</v>
      </c>
      <c r="G370" s="66">
        <v>11604.05</v>
      </c>
      <c r="H370" s="67">
        <v>20041.48</v>
      </c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</row>
    <row r="371" spans="1:28" ht="12.75" customHeight="1">
      <c r="A371" s="71">
        <v>175.5</v>
      </c>
      <c r="B371" s="72">
        <v>5829.38</v>
      </c>
      <c r="C371" s="73">
        <v>9353.43</v>
      </c>
      <c r="D371" s="73">
        <v>11548.94</v>
      </c>
      <c r="E371" s="73">
        <v>15547.69</v>
      </c>
      <c r="F371" s="73">
        <v>11005.06</v>
      </c>
      <c r="G371" s="73">
        <v>11635.27</v>
      </c>
      <c r="H371" s="74">
        <v>20095.54</v>
      </c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</row>
    <row r="372" spans="1:28" ht="12.75" customHeight="1">
      <c r="A372" s="65">
        <v>176</v>
      </c>
      <c r="B372" s="75">
        <v>5844.8</v>
      </c>
      <c r="C372" s="66">
        <v>9378.26</v>
      </c>
      <c r="D372" s="66">
        <v>11581.99</v>
      </c>
      <c r="E372" s="66">
        <v>15593.08</v>
      </c>
      <c r="F372" s="66">
        <v>11034.33</v>
      </c>
      <c r="G372" s="66">
        <v>11666.49</v>
      </c>
      <c r="H372" s="67">
        <v>20149.59</v>
      </c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</row>
    <row r="373" spans="1:28" ht="12.75" customHeight="1">
      <c r="A373" s="71">
        <v>176.5</v>
      </c>
      <c r="B373" s="72">
        <v>5860.21</v>
      </c>
      <c r="C373" s="73">
        <v>9403.08</v>
      </c>
      <c r="D373" s="73">
        <v>11615.03</v>
      </c>
      <c r="E373" s="73">
        <v>15638.47</v>
      </c>
      <c r="F373" s="73">
        <v>11063.6</v>
      </c>
      <c r="G373" s="73">
        <v>11697.71</v>
      </c>
      <c r="H373" s="74">
        <v>20203.650000000001</v>
      </c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</row>
    <row r="374" spans="1:28" ht="12.75" customHeight="1">
      <c r="A374" s="65">
        <v>177</v>
      </c>
      <c r="B374" s="75">
        <v>5875.63</v>
      </c>
      <c r="C374" s="66">
        <v>9427.91</v>
      </c>
      <c r="D374" s="66">
        <v>11648.08</v>
      </c>
      <c r="E374" s="66">
        <v>15683.85</v>
      </c>
      <c r="F374" s="66">
        <v>11092.88</v>
      </c>
      <c r="G374" s="66">
        <v>11728.93</v>
      </c>
      <c r="H374" s="67">
        <v>20257.71</v>
      </c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</row>
    <row r="375" spans="1:28" ht="12.75" customHeight="1">
      <c r="A375" s="71">
        <v>177.5</v>
      </c>
      <c r="B375" s="72">
        <v>5891.04</v>
      </c>
      <c r="C375" s="73">
        <v>9452.73</v>
      </c>
      <c r="D375" s="73">
        <v>11681.13</v>
      </c>
      <c r="E375" s="73">
        <v>15729.24</v>
      </c>
      <c r="F375" s="73">
        <v>11122.15</v>
      </c>
      <c r="G375" s="73">
        <v>11760.15</v>
      </c>
      <c r="H375" s="74">
        <v>20311.77</v>
      </c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</row>
    <row r="376" spans="1:28" ht="12.75" customHeight="1">
      <c r="A376" s="65">
        <v>178</v>
      </c>
      <c r="B376" s="75">
        <v>5906.46</v>
      </c>
      <c r="C376" s="66">
        <v>9477.56</v>
      </c>
      <c r="D376" s="66">
        <v>11714.17</v>
      </c>
      <c r="E376" s="66">
        <v>15774.63</v>
      </c>
      <c r="F376" s="66">
        <v>11151.43</v>
      </c>
      <c r="G376" s="66">
        <v>11791.37</v>
      </c>
      <c r="H376" s="67">
        <v>20365.830000000002</v>
      </c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</row>
    <row r="377" spans="1:28" ht="12.75" customHeight="1">
      <c r="A377" s="71">
        <v>178.5</v>
      </c>
      <c r="B377" s="72">
        <v>5921.88</v>
      </c>
      <c r="C377" s="73">
        <v>9502.39</v>
      </c>
      <c r="D377" s="73">
        <v>11747.22</v>
      </c>
      <c r="E377" s="73">
        <v>15820.01</v>
      </c>
      <c r="F377" s="73">
        <v>11180.7</v>
      </c>
      <c r="G377" s="73">
        <v>11822.6</v>
      </c>
      <c r="H377" s="74">
        <v>20419.89</v>
      </c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</row>
    <row r="378" spans="1:28" ht="12.75" customHeight="1">
      <c r="A378" s="65">
        <v>179</v>
      </c>
      <c r="B378" s="75">
        <v>5937.29</v>
      </c>
      <c r="C378" s="66">
        <v>9527.2099999999991</v>
      </c>
      <c r="D378" s="66">
        <v>11780.26</v>
      </c>
      <c r="E378" s="66">
        <v>15865.4</v>
      </c>
      <c r="F378" s="66">
        <v>11209.97</v>
      </c>
      <c r="G378" s="66">
        <v>11853.82</v>
      </c>
      <c r="H378" s="67">
        <v>20473.939999999999</v>
      </c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</row>
    <row r="379" spans="1:28" ht="12.75" customHeight="1">
      <c r="A379" s="71">
        <v>179.5</v>
      </c>
      <c r="B379" s="72">
        <v>5952.71</v>
      </c>
      <c r="C379" s="73">
        <v>9552.0400000000009</v>
      </c>
      <c r="D379" s="73">
        <v>11813.31</v>
      </c>
      <c r="E379" s="73">
        <v>15910.79</v>
      </c>
      <c r="F379" s="73">
        <v>11239.25</v>
      </c>
      <c r="G379" s="73">
        <v>11885.04</v>
      </c>
      <c r="H379" s="74">
        <v>20528</v>
      </c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</row>
    <row r="380" spans="1:28" ht="12.75" customHeight="1">
      <c r="A380" s="65">
        <v>180</v>
      </c>
      <c r="B380" s="75">
        <v>5968.12</v>
      </c>
      <c r="C380" s="66">
        <v>9576.86</v>
      </c>
      <c r="D380" s="66">
        <v>11846.36</v>
      </c>
      <c r="E380" s="66">
        <v>15956.18</v>
      </c>
      <c r="F380" s="66">
        <v>11268.52</v>
      </c>
      <c r="G380" s="66">
        <v>11916.26</v>
      </c>
      <c r="H380" s="67">
        <v>20582.060000000001</v>
      </c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</row>
    <row r="381" spans="1:28" ht="12.75" customHeight="1">
      <c r="A381" s="71">
        <v>180.5</v>
      </c>
      <c r="B381" s="72">
        <v>5983.54</v>
      </c>
      <c r="C381" s="73">
        <v>9601.69</v>
      </c>
      <c r="D381" s="73">
        <v>11879.4</v>
      </c>
      <c r="E381" s="73">
        <v>16001.56</v>
      </c>
      <c r="F381" s="73">
        <v>11297.8</v>
      </c>
      <c r="G381" s="73">
        <v>11947.48</v>
      </c>
      <c r="H381" s="74">
        <v>20636.12</v>
      </c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</row>
    <row r="382" spans="1:28" ht="12.75" customHeight="1">
      <c r="A382" s="65">
        <v>181</v>
      </c>
      <c r="B382" s="75">
        <v>5998.96</v>
      </c>
      <c r="C382" s="66">
        <v>9626.51</v>
      </c>
      <c r="D382" s="66">
        <v>11912.45</v>
      </c>
      <c r="E382" s="66">
        <v>16046.95</v>
      </c>
      <c r="F382" s="66">
        <v>11327.07</v>
      </c>
      <c r="G382" s="66">
        <v>11978.7</v>
      </c>
      <c r="H382" s="67">
        <v>20690.18</v>
      </c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  <c r="AB382" s="48"/>
    </row>
    <row r="383" spans="1:28" ht="12.75" customHeight="1">
      <c r="A383" s="71">
        <v>181.5</v>
      </c>
      <c r="B383" s="72">
        <v>6014.37</v>
      </c>
      <c r="C383" s="73">
        <v>9651.34</v>
      </c>
      <c r="D383" s="73">
        <v>11945.49</v>
      </c>
      <c r="E383" s="73">
        <v>16092.34</v>
      </c>
      <c r="F383" s="73">
        <v>11356.34</v>
      </c>
      <c r="G383" s="73">
        <v>12009.93</v>
      </c>
      <c r="H383" s="74">
        <v>20744.240000000002</v>
      </c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</row>
    <row r="384" spans="1:28" ht="12.75" customHeight="1">
      <c r="A384" s="65">
        <v>182</v>
      </c>
      <c r="B384" s="75">
        <v>6029.79</v>
      </c>
      <c r="C384" s="66">
        <v>9676.16</v>
      </c>
      <c r="D384" s="66">
        <v>11978.54</v>
      </c>
      <c r="E384" s="66">
        <v>16137.72</v>
      </c>
      <c r="F384" s="66">
        <v>11385.62</v>
      </c>
      <c r="G384" s="66">
        <v>12041.15</v>
      </c>
      <c r="H384" s="67">
        <v>20798.3</v>
      </c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</row>
    <row r="385" spans="1:28" ht="12.75" customHeight="1">
      <c r="A385" s="71">
        <v>182.5</v>
      </c>
      <c r="B385" s="72">
        <v>6045.2</v>
      </c>
      <c r="C385" s="73">
        <v>9700.99</v>
      </c>
      <c r="D385" s="73">
        <v>12011.59</v>
      </c>
      <c r="E385" s="73">
        <v>16183.11</v>
      </c>
      <c r="F385" s="73">
        <v>11414.89</v>
      </c>
      <c r="G385" s="73">
        <v>12072.37</v>
      </c>
      <c r="H385" s="74">
        <v>20852.349999999999</v>
      </c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</row>
    <row r="386" spans="1:28" ht="12.75" customHeight="1">
      <c r="A386" s="65">
        <v>183</v>
      </c>
      <c r="B386" s="75">
        <v>6060.62</v>
      </c>
      <c r="C386" s="66">
        <v>9725.82</v>
      </c>
      <c r="D386" s="66">
        <v>12044.63</v>
      </c>
      <c r="E386" s="66">
        <v>16228.5</v>
      </c>
      <c r="F386" s="66">
        <v>11444.17</v>
      </c>
      <c r="G386" s="66">
        <v>12103.59</v>
      </c>
      <c r="H386" s="67">
        <v>20906.41</v>
      </c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  <c r="AB386" s="48"/>
    </row>
    <row r="387" spans="1:28" ht="12.75" customHeight="1">
      <c r="A387" s="71">
        <v>183.5</v>
      </c>
      <c r="B387" s="72">
        <v>6076.04</v>
      </c>
      <c r="C387" s="73">
        <v>9750.64</v>
      </c>
      <c r="D387" s="73">
        <v>12077.68</v>
      </c>
      <c r="E387" s="73">
        <v>16273.88</v>
      </c>
      <c r="F387" s="73">
        <v>11473.44</v>
      </c>
      <c r="G387" s="73">
        <v>12134.81</v>
      </c>
      <c r="H387" s="74">
        <v>20960.47</v>
      </c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</row>
    <row r="388" spans="1:28" ht="12.75" customHeight="1">
      <c r="A388" s="65">
        <v>184</v>
      </c>
      <c r="B388" s="75">
        <v>6091.45</v>
      </c>
      <c r="C388" s="66">
        <v>9775.4699999999993</v>
      </c>
      <c r="D388" s="66">
        <v>12110.72</v>
      </c>
      <c r="E388" s="66">
        <v>16319.27</v>
      </c>
      <c r="F388" s="66">
        <v>11502.71</v>
      </c>
      <c r="G388" s="66">
        <v>12166.03</v>
      </c>
      <c r="H388" s="67">
        <v>21014.53</v>
      </c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  <c r="AB388" s="48"/>
    </row>
    <row r="389" spans="1:28" ht="12.75" customHeight="1">
      <c r="A389" s="71">
        <v>184.5</v>
      </c>
      <c r="B389" s="72">
        <v>6106.87</v>
      </c>
      <c r="C389" s="73">
        <v>9800.2900000000009</v>
      </c>
      <c r="D389" s="73">
        <v>12143.77</v>
      </c>
      <c r="E389" s="73">
        <v>16364.66</v>
      </c>
      <c r="F389" s="73">
        <v>11531.99</v>
      </c>
      <c r="G389" s="73">
        <v>12197.25</v>
      </c>
      <c r="H389" s="74">
        <v>21068.59</v>
      </c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</row>
    <row r="390" spans="1:28" ht="12.75" customHeight="1">
      <c r="A390" s="65">
        <v>185</v>
      </c>
      <c r="B390" s="75">
        <v>6122.28</v>
      </c>
      <c r="C390" s="66">
        <v>9825.1200000000008</v>
      </c>
      <c r="D390" s="66">
        <v>12176.82</v>
      </c>
      <c r="E390" s="66">
        <v>16410.05</v>
      </c>
      <c r="F390" s="66">
        <v>11561.26</v>
      </c>
      <c r="G390" s="66">
        <v>12228.48</v>
      </c>
      <c r="H390" s="67">
        <v>21122.65</v>
      </c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</row>
    <row r="391" spans="1:28" ht="12.75" customHeight="1">
      <c r="A391" s="71">
        <v>185.5</v>
      </c>
      <c r="B391" s="72">
        <v>6137.7</v>
      </c>
      <c r="C391" s="73">
        <v>9849.94</v>
      </c>
      <c r="D391" s="73">
        <v>12209.86</v>
      </c>
      <c r="E391" s="73">
        <v>16455.43</v>
      </c>
      <c r="F391" s="73">
        <v>11590.54</v>
      </c>
      <c r="G391" s="73">
        <v>12259.7</v>
      </c>
      <c r="H391" s="74">
        <v>21176.71</v>
      </c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</row>
    <row r="392" spans="1:28" ht="12.75" customHeight="1">
      <c r="A392" s="65">
        <v>186</v>
      </c>
      <c r="B392" s="75">
        <v>6153.12</v>
      </c>
      <c r="C392" s="66">
        <v>9874.77</v>
      </c>
      <c r="D392" s="66">
        <v>12242.91</v>
      </c>
      <c r="E392" s="66">
        <v>16500.82</v>
      </c>
      <c r="F392" s="66">
        <v>11619.81</v>
      </c>
      <c r="G392" s="66">
        <v>12290.92</v>
      </c>
      <c r="H392" s="67">
        <v>21230.76</v>
      </c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</row>
    <row r="393" spans="1:28" ht="12.75" customHeight="1">
      <c r="A393" s="71">
        <v>186.5</v>
      </c>
      <c r="B393" s="72">
        <v>6168.53</v>
      </c>
      <c r="C393" s="73">
        <v>9899.59</v>
      </c>
      <c r="D393" s="73">
        <v>12275.95</v>
      </c>
      <c r="E393" s="73">
        <v>16546.21</v>
      </c>
      <c r="F393" s="73">
        <v>11649.08</v>
      </c>
      <c r="G393" s="73">
        <v>12322.14</v>
      </c>
      <c r="H393" s="74">
        <v>21284.82</v>
      </c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</row>
    <row r="394" spans="1:28" ht="12.75" customHeight="1">
      <c r="A394" s="65">
        <v>187</v>
      </c>
      <c r="B394" s="75">
        <v>6183.95</v>
      </c>
      <c r="C394" s="66">
        <v>9924.42</v>
      </c>
      <c r="D394" s="66">
        <v>12309</v>
      </c>
      <c r="E394" s="66">
        <v>16591.59</v>
      </c>
      <c r="F394" s="66">
        <v>11678.36</v>
      </c>
      <c r="G394" s="66">
        <v>12353.36</v>
      </c>
      <c r="H394" s="67">
        <v>21338.880000000001</v>
      </c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  <c r="AB394" s="48"/>
    </row>
    <row r="395" spans="1:28" ht="12.75" customHeight="1">
      <c r="A395" s="71">
        <v>187.5</v>
      </c>
      <c r="B395" s="72">
        <v>6199.36</v>
      </c>
      <c r="C395" s="73">
        <v>9949.24</v>
      </c>
      <c r="D395" s="73">
        <v>12342.05</v>
      </c>
      <c r="E395" s="73">
        <v>16636.98</v>
      </c>
      <c r="F395" s="73">
        <v>11707.63</v>
      </c>
      <c r="G395" s="73">
        <v>12384.58</v>
      </c>
      <c r="H395" s="74">
        <v>21392.94</v>
      </c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</row>
    <row r="396" spans="1:28" ht="12.75" customHeight="1">
      <c r="A396" s="65">
        <v>188</v>
      </c>
      <c r="B396" s="75">
        <v>6214.78</v>
      </c>
      <c r="C396" s="66">
        <v>9974.07</v>
      </c>
      <c r="D396" s="66">
        <v>12375.09</v>
      </c>
      <c r="E396" s="66">
        <v>16682.37</v>
      </c>
      <c r="F396" s="66">
        <v>11736.91</v>
      </c>
      <c r="G396" s="66">
        <v>12415.8</v>
      </c>
      <c r="H396" s="67">
        <v>21447</v>
      </c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</row>
    <row r="397" spans="1:28" ht="12.75" customHeight="1">
      <c r="A397" s="71">
        <v>188.5</v>
      </c>
      <c r="B397" s="72">
        <v>6230.2</v>
      </c>
      <c r="C397" s="73">
        <v>9998.9</v>
      </c>
      <c r="D397" s="73">
        <v>12408.14</v>
      </c>
      <c r="E397" s="73">
        <v>16727.75</v>
      </c>
      <c r="F397" s="73">
        <v>11766.18</v>
      </c>
      <c r="G397" s="73">
        <v>12447.03</v>
      </c>
      <c r="H397" s="74">
        <v>21501.06</v>
      </c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</row>
    <row r="398" spans="1:28" ht="12.75" customHeight="1">
      <c r="A398" s="65">
        <v>189</v>
      </c>
      <c r="B398" s="75">
        <v>6245.61</v>
      </c>
      <c r="C398" s="66">
        <v>10023.719999999999</v>
      </c>
      <c r="D398" s="66">
        <v>12441.18</v>
      </c>
      <c r="E398" s="66">
        <v>16773.14</v>
      </c>
      <c r="F398" s="66">
        <v>11795.45</v>
      </c>
      <c r="G398" s="66">
        <v>12478.25</v>
      </c>
      <c r="H398" s="67">
        <v>21555.11</v>
      </c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  <c r="AB398" s="48"/>
    </row>
    <row r="399" spans="1:28" ht="12.75" customHeight="1">
      <c r="A399" s="71">
        <v>189.5</v>
      </c>
      <c r="B399" s="72">
        <v>6261.03</v>
      </c>
      <c r="C399" s="73">
        <v>10048.549999999999</v>
      </c>
      <c r="D399" s="73">
        <v>12474.23</v>
      </c>
      <c r="E399" s="73">
        <v>16818.53</v>
      </c>
      <c r="F399" s="73">
        <v>11824.73</v>
      </c>
      <c r="G399" s="73">
        <v>12509.47</v>
      </c>
      <c r="H399" s="74">
        <v>21609.17</v>
      </c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</row>
    <row r="400" spans="1:28" ht="12.75" customHeight="1">
      <c r="A400" s="65">
        <v>190</v>
      </c>
      <c r="B400" s="75">
        <v>6276.44</v>
      </c>
      <c r="C400" s="66">
        <v>10073.370000000001</v>
      </c>
      <c r="D400" s="66">
        <v>12507.28</v>
      </c>
      <c r="E400" s="66">
        <v>16863.919999999998</v>
      </c>
      <c r="F400" s="66">
        <v>11854</v>
      </c>
      <c r="G400" s="66">
        <v>12540.69</v>
      </c>
      <c r="H400" s="67">
        <v>21663.23</v>
      </c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48"/>
    </row>
    <row r="401" spans="1:28" ht="12.75" customHeight="1">
      <c r="A401" s="71">
        <v>190.5</v>
      </c>
      <c r="B401" s="72">
        <v>6291.86</v>
      </c>
      <c r="C401" s="73">
        <v>10098.200000000001</v>
      </c>
      <c r="D401" s="73">
        <v>12540.32</v>
      </c>
      <c r="E401" s="73">
        <v>16909.3</v>
      </c>
      <c r="F401" s="73">
        <v>11883.28</v>
      </c>
      <c r="G401" s="73">
        <v>12571.91</v>
      </c>
      <c r="H401" s="74">
        <v>21717.29</v>
      </c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</row>
    <row r="402" spans="1:28" ht="12.75" customHeight="1">
      <c r="A402" s="65">
        <v>191</v>
      </c>
      <c r="B402" s="75">
        <v>6307.28</v>
      </c>
      <c r="C402" s="66">
        <v>10123.02</v>
      </c>
      <c r="D402" s="66">
        <v>12573.37</v>
      </c>
      <c r="E402" s="66">
        <v>16954.689999999999</v>
      </c>
      <c r="F402" s="66">
        <v>11912.55</v>
      </c>
      <c r="G402" s="66">
        <v>12603.13</v>
      </c>
      <c r="H402" s="67">
        <v>21771.35</v>
      </c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</row>
    <row r="403" spans="1:28" ht="12.75" customHeight="1">
      <c r="A403" s="71">
        <v>191.5</v>
      </c>
      <c r="B403" s="72">
        <v>6322.69</v>
      </c>
      <c r="C403" s="73">
        <v>10147.85</v>
      </c>
      <c r="D403" s="73">
        <v>12606.41</v>
      </c>
      <c r="E403" s="73">
        <v>17000.080000000002</v>
      </c>
      <c r="F403" s="73">
        <v>11941.82</v>
      </c>
      <c r="G403" s="73">
        <v>12634.36</v>
      </c>
      <c r="H403" s="74">
        <v>21825.41</v>
      </c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</row>
    <row r="404" spans="1:28" ht="12.75" customHeight="1">
      <c r="A404" s="65">
        <v>192</v>
      </c>
      <c r="B404" s="75">
        <v>6338.11</v>
      </c>
      <c r="C404" s="66">
        <v>10172.67</v>
      </c>
      <c r="D404" s="66">
        <v>12639.46</v>
      </c>
      <c r="E404" s="66">
        <v>17045.46</v>
      </c>
      <c r="F404" s="66">
        <v>11971.1</v>
      </c>
      <c r="G404" s="66">
        <v>12665.58</v>
      </c>
      <c r="H404" s="67">
        <v>21879.47</v>
      </c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</row>
    <row r="405" spans="1:28" ht="12.75" customHeight="1">
      <c r="A405" s="71">
        <v>192.5</v>
      </c>
      <c r="B405" s="72">
        <v>6353.52</v>
      </c>
      <c r="C405" s="73">
        <v>10197.5</v>
      </c>
      <c r="D405" s="73">
        <v>12672.51</v>
      </c>
      <c r="E405" s="73">
        <v>17090.849999999999</v>
      </c>
      <c r="F405" s="73">
        <v>12000.37</v>
      </c>
      <c r="G405" s="73">
        <v>12696.8</v>
      </c>
      <c r="H405" s="74">
        <v>21933.52</v>
      </c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</row>
    <row r="406" spans="1:28" ht="12.75" customHeight="1">
      <c r="A406" s="65">
        <v>193</v>
      </c>
      <c r="B406" s="75">
        <v>6368.94</v>
      </c>
      <c r="C406" s="66">
        <v>10222.33</v>
      </c>
      <c r="D406" s="66">
        <v>12705.55</v>
      </c>
      <c r="E406" s="66">
        <v>17136.240000000002</v>
      </c>
      <c r="F406" s="66">
        <v>12029.65</v>
      </c>
      <c r="G406" s="66">
        <v>12728.02</v>
      </c>
      <c r="H406" s="67">
        <v>21987.58</v>
      </c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  <c r="AB406" s="48"/>
    </row>
    <row r="407" spans="1:28" ht="12.75" customHeight="1">
      <c r="A407" s="71">
        <v>193.5</v>
      </c>
      <c r="B407" s="72">
        <v>6384.36</v>
      </c>
      <c r="C407" s="73">
        <v>10247.15</v>
      </c>
      <c r="D407" s="73">
        <v>12738.6</v>
      </c>
      <c r="E407" s="73">
        <v>17181.62</v>
      </c>
      <c r="F407" s="73">
        <v>12058.92</v>
      </c>
      <c r="G407" s="73">
        <v>12759.24</v>
      </c>
      <c r="H407" s="74">
        <v>22041.64</v>
      </c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</row>
    <row r="408" spans="1:28" ht="12.75" customHeight="1">
      <c r="A408" s="65">
        <v>194</v>
      </c>
      <c r="B408" s="75">
        <v>6399.77</v>
      </c>
      <c r="C408" s="66">
        <v>10271.98</v>
      </c>
      <c r="D408" s="66">
        <v>12771.64</v>
      </c>
      <c r="E408" s="66">
        <v>17227.009999999998</v>
      </c>
      <c r="F408" s="66">
        <v>12088.19</v>
      </c>
      <c r="G408" s="66">
        <v>12790.46</v>
      </c>
      <c r="H408" s="67">
        <v>22095.7</v>
      </c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</row>
    <row r="409" spans="1:28" ht="12.75" customHeight="1">
      <c r="A409" s="71">
        <v>194.5</v>
      </c>
      <c r="B409" s="72">
        <v>6415.19</v>
      </c>
      <c r="C409" s="73">
        <v>10296.799999999999</v>
      </c>
      <c r="D409" s="73">
        <v>12804.69</v>
      </c>
      <c r="E409" s="73">
        <v>17272.400000000001</v>
      </c>
      <c r="F409" s="73">
        <v>12117.47</v>
      </c>
      <c r="G409" s="73">
        <v>12821.68</v>
      </c>
      <c r="H409" s="74">
        <v>22149.759999999998</v>
      </c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</row>
    <row r="410" spans="1:28" ht="12.75" customHeight="1">
      <c r="A410" s="65">
        <v>195</v>
      </c>
      <c r="B410" s="75">
        <v>6430.6</v>
      </c>
      <c r="C410" s="66">
        <v>10321.629999999999</v>
      </c>
      <c r="D410" s="66">
        <v>12837.74</v>
      </c>
      <c r="E410" s="66">
        <v>17317.79</v>
      </c>
      <c r="F410" s="66">
        <v>12146.74</v>
      </c>
      <c r="G410" s="66">
        <v>12852.91</v>
      </c>
      <c r="H410" s="67">
        <v>22203.82</v>
      </c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  <c r="AB410" s="48"/>
    </row>
    <row r="411" spans="1:28" ht="12.75" customHeight="1">
      <c r="A411" s="71">
        <v>195.5</v>
      </c>
      <c r="B411" s="72">
        <v>6446.02</v>
      </c>
      <c r="C411" s="73">
        <v>10346.450000000001</v>
      </c>
      <c r="D411" s="73">
        <v>12870.78</v>
      </c>
      <c r="E411" s="73">
        <v>17363.169999999998</v>
      </c>
      <c r="F411" s="73">
        <v>12176.02</v>
      </c>
      <c r="G411" s="73">
        <v>12884.13</v>
      </c>
      <c r="H411" s="74">
        <v>22257.88</v>
      </c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</row>
    <row r="412" spans="1:28" ht="12.75" customHeight="1">
      <c r="A412" s="65">
        <v>196</v>
      </c>
      <c r="B412" s="75">
        <v>6461.44</v>
      </c>
      <c r="C412" s="66">
        <v>10371.280000000001</v>
      </c>
      <c r="D412" s="66">
        <v>12903.83</v>
      </c>
      <c r="E412" s="66">
        <v>17408.560000000001</v>
      </c>
      <c r="F412" s="66">
        <v>12205.29</v>
      </c>
      <c r="G412" s="66">
        <v>12915.35</v>
      </c>
      <c r="H412" s="67">
        <v>22311.93</v>
      </c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  <c r="AB412" s="48"/>
    </row>
    <row r="413" spans="1:28" ht="12.75" customHeight="1">
      <c r="A413" s="71">
        <v>196.5</v>
      </c>
      <c r="B413" s="72">
        <v>6476.85</v>
      </c>
      <c r="C413" s="73">
        <v>10396.1</v>
      </c>
      <c r="D413" s="73">
        <v>12936.87</v>
      </c>
      <c r="E413" s="73">
        <v>17453.95</v>
      </c>
      <c r="F413" s="73">
        <v>12234.56</v>
      </c>
      <c r="G413" s="73">
        <v>12946.57</v>
      </c>
      <c r="H413" s="74">
        <v>22365.99</v>
      </c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</row>
    <row r="414" spans="1:28" ht="12.75" customHeight="1">
      <c r="A414" s="65">
        <v>197</v>
      </c>
      <c r="B414" s="75">
        <v>6492.27</v>
      </c>
      <c r="C414" s="66">
        <v>10420.93</v>
      </c>
      <c r="D414" s="66">
        <v>12969.92</v>
      </c>
      <c r="E414" s="66">
        <v>17499.330000000002</v>
      </c>
      <c r="F414" s="66">
        <v>12263.84</v>
      </c>
      <c r="G414" s="66">
        <v>12977.79</v>
      </c>
      <c r="H414" s="67">
        <v>22420.05</v>
      </c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</row>
    <row r="415" spans="1:28" ht="12.75" customHeight="1">
      <c r="A415" s="71">
        <v>197.5</v>
      </c>
      <c r="B415" s="72">
        <v>6507.68</v>
      </c>
      <c r="C415" s="73">
        <v>10445.75</v>
      </c>
      <c r="D415" s="73">
        <v>13002.97</v>
      </c>
      <c r="E415" s="73">
        <v>17544.72</v>
      </c>
      <c r="F415" s="73">
        <v>12293.11</v>
      </c>
      <c r="G415" s="73">
        <v>13009.01</v>
      </c>
      <c r="H415" s="74">
        <v>22474.11</v>
      </c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</row>
    <row r="416" spans="1:28" ht="12.75" customHeight="1">
      <c r="A416" s="65">
        <v>198</v>
      </c>
      <c r="B416" s="75">
        <v>6523.1</v>
      </c>
      <c r="C416" s="66">
        <v>10470.58</v>
      </c>
      <c r="D416" s="66">
        <v>13036.01</v>
      </c>
      <c r="E416" s="66">
        <v>17590.11</v>
      </c>
      <c r="F416" s="66">
        <v>12322.39</v>
      </c>
      <c r="G416" s="66">
        <v>13040.23</v>
      </c>
      <c r="H416" s="67">
        <v>22528.17</v>
      </c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</row>
    <row r="417" spans="1:28" ht="12.75" customHeight="1">
      <c r="A417" s="71">
        <v>198.5</v>
      </c>
      <c r="B417" s="72">
        <v>6538.52</v>
      </c>
      <c r="C417" s="73">
        <v>10495.41</v>
      </c>
      <c r="D417" s="73">
        <v>13069.06</v>
      </c>
      <c r="E417" s="73">
        <v>17635.490000000002</v>
      </c>
      <c r="F417" s="73">
        <v>12351.66</v>
      </c>
      <c r="G417" s="73">
        <v>13071.46</v>
      </c>
      <c r="H417" s="74">
        <v>22582.23</v>
      </c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</row>
    <row r="418" spans="1:28" ht="12.75" customHeight="1">
      <c r="A418" s="65">
        <v>199</v>
      </c>
      <c r="B418" s="75">
        <v>6553.93</v>
      </c>
      <c r="C418" s="66">
        <v>10520.23</v>
      </c>
      <c r="D418" s="66">
        <v>13102.1</v>
      </c>
      <c r="E418" s="66">
        <v>17680.88</v>
      </c>
      <c r="F418" s="66">
        <v>12380.93</v>
      </c>
      <c r="G418" s="66">
        <v>13102.68</v>
      </c>
      <c r="H418" s="67">
        <v>22636.28</v>
      </c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</row>
    <row r="419" spans="1:28" ht="12.75" customHeight="1">
      <c r="A419" s="71">
        <v>199.5</v>
      </c>
      <c r="B419" s="72">
        <v>6569.35</v>
      </c>
      <c r="C419" s="73">
        <v>10545.06</v>
      </c>
      <c r="D419" s="73">
        <v>13135.15</v>
      </c>
      <c r="E419" s="73">
        <v>17726.27</v>
      </c>
      <c r="F419" s="73">
        <v>12410.21</v>
      </c>
      <c r="G419" s="73">
        <v>13133.9</v>
      </c>
      <c r="H419" s="74">
        <v>22690.34</v>
      </c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</row>
    <row r="420" spans="1:28" ht="12.75" customHeight="1">
      <c r="A420" s="65">
        <v>200</v>
      </c>
      <c r="B420" s="75">
        <v>6584.76</v>
      </c>
      <c r="C420" s="66">
        <v>10569.88</v>
      </c>
      <c r="D420" s="66">
        <v>13168.2</v>
      </c>
      <c r="E420" s="66">
        <v>17771.66</v>
      </c>
      <c r="F420" s="66">
        <v>12439.48</v>
      </c>
      <c r="G420" s="66">
        <v>13165.12</v>
      </c>
      <c r="H420" s="67">
        <v>22744.400000000001</v>
      </c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</row>
    <row r="421" spans="1:28" ht="12.75" customHeight="1">
      <c r="A421" s="71">
        <v>200.5</v>
      </c>
      <c r="B421" s="72">
        <v>6600.18</v>
      </c>
      <c r="C421" s="73">
        <v>10594.71</v>
      </c>
      <c r="D421" s="73">
        <v>13201.24</v>
      </c>
      <c r="E421" s="73">
        <v>17817.04</v>
      </c>
      <c r="F421" s="73">
        <v>12468.76</v>
      </c>
      <c r="G421" s="73">
        <v>13196.34</v>
      </c>
      <c r="H421" s="74">
        <v>22798.46</v>
      </c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</row>
    <row r="422" spans="1:28" ht="12.75" customHeight="1">
      <c r="A422" s="65">
        <v>201</v>
      </c>
      <c r="B422" s="75">
        <v>6615.6</v>
      </c>
      <c r="C422" s="66">
        <v>10619.53</v>
      </c>
      <c r="D422" s="66">
        <v>13234.29</v>
      </c>
      <c r="E422" s="66">
        <v>17862.43</v>
      </c>
      <c r="F422" s="66">
        <v>12498.03</v>
      </c>
      <c r="G422" s="66">
        <v>13227.56</v>
      </c>
      <c r="H422" s="67">
        <v>22852.52</v>
      </c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</row>
    <row r="423" spans="1:28" ht="12.75" customHeight="1">
      <c r="A423" s="71">
        <v>201.5</v>
      </c>
      <c r="B423" s="72">
        <v>6631.01</v>
      </c>
      <c r="C423" s="73">
        <v>10644.36</v>
      </c>
      <c r="D423" s="73">
        <v>13267.33</v>
      </c>
      <c r="E423" s="73">
        <v>17907.82</v>
      </c>
      <c r="F423" s="73">
        <v>12527.3</v>
      </c>
      <c r="G423" s="73">
        <v>13258.79</v>
      </c>
      <c r="H423" s="74">
        <v>22906.58</v>
      </c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</row>
    <row r="424" spans="1:28" ht="12.75" customHeight="1">
      <c r="A424" s="65">
        <v>202</v>
      </c>
      <c r="B424" s="75">
        <v>6646.43</v>
      </c>
      <c r="C424" s="66">
        <v>10669.18</v>
      </c>
      <c r="D424" s="66">
        <v>13300.38</v>
      </c>
      <c r="E424" s="66">
        <v>17953.2</v>
      </c>
      <c r="F424" s="66">
        <v>12556.58</v>
      </c>
      <c r="G424" s="66">
        <v>13290.01</v>
      </c>
      <c r="H424" s="67">
        <v>22960.639999999999</v>
      </c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</row>
    <row r="425" spans="1:28" ht="12.75" customHeight="1">
      <c r="A425" s="71">
        <v>202.5</v>
      </c>
      <c r="B425" s="72">
        <v>6661.84</v>
      </c>
      <c r="C425" s="73">
        <v>10694.01</v>
      </c>
      <c r="D425" s="73">
        <v>13333.43</v>
      </c>
      <c r="E425" s="73">
        <v>17998.59</v>
      </c>
      <c r="F425" s="73">
        <v>12585.85</v>
      </c>
      <c r="G425" s="73">
        <v>13321.23</v>
      </c>
      <c r="H425" s="74">
        <v>23014.69</v>
      </c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</row>
    <row r="426" spans="1:28" ht="12.75" customHeight="1">
      <c r="A426" s="65">
        <v>203</v>
      </c>
      <c r="B426" s="75">
        <v>6677.26</v>
      </c>
      <c r="C426" s="66">
        <v>10718.84</v>
      </c>
      <c r="D426" s="66">
        <v>13366.47</v>
      </c>
      <c r="E426" s="66">
        <v>18043.98</v>
      </c>
      <c r="F426" s="66">
        <v>12615.13</v>
      </c>
      <c r="G426" s="66">
        <v>13352.45</v>
      </c>
      <c r="H426" s="67">
        <v>23068.75</v>
      </c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</row>
    <row r="427" spans="1:28" ht="12.75" customHeight="1">
      <c r="A427" s="71">
        <v>203.5</v>
      </c>
      <c r="B427" s="72">
        <v>6692.68</v>
      </c>
      <c r="C427" s="73">
        <v>10743.66</v>
      </c>
      <c r="D427" s="73">
        <v>13399.52</v>
      </c>
      <c r="E427" s="73">
        <v>18089.36</v>
      </c>
      <c r="F427" s="73">
        <v>12644.4</v>
      </c>
      <c r="G427" s="73">
        <v>13383.67</v>
      </c>
      <c r="H427" s="74">
        <v>23122.81</v>
      </c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</row>
    <row r="428" spans="1:28" ht="12.75" customHeight="1">
      <c r="A428" s="65">
        <v>204</v>
      </c>
      <c r="B428" s="75">
        <v>6708.09</v>
      </c>
      <c r="C428" s="66">
        <v>10768.49</v>
      </c>
      <c r="D428" s="66">
        <v>13432.56</v>
      </c>
      <c r="E428" s="66">
        <v>18134.75</v>
      </c>
      <c r="F428" s="66">
        <v>12673.67</v>
      </c>
      <c r="G428" s="66">
        <v>13414.89</v>
      </c>
      <c r="H428" s="67">
        <v>23176.87</v>
      </c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</row>
    <row r="429" spans="1:28" ht="12.75" customHeight="1">
      <c r="A429" s="71">
        <v>204.5</v>
      </c>
      <c r="B429" s="72">
        <v>6723.51</v>
      </c>
      <c r="C429" s="73">
        <v>10793.31</v>
      </c>
      <c r="D429" s="73">
        <v>13465.61</v>
      </c>
      <c r="E429" s="73">
        <v>18180.14</v>
      </c>
      <c r="F429" s="73">
        <v>12702.95</v>
      </c>
      <c r="G429" s="73">
        <v>13446.11</v>
      </c>
      <c r="H429" s="74">
        <v>23230.93</v>
      </c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</row>
    <row r="430" spans="1:28" ht="12.75" customHeight="1">
      <c r="A430" s="65">
        <v>205</v>
      </c>
      <c r="B430" s="75">
        <v>6738.92</v>
      </c>
      <c r="C430" s="66">
        <v>10818.14</v>
      </c>
      <c r="D430" s="66">
        <v>13498.66</v>
      </c>
      <c r="E430" s="66">
        <v>18225.53</v>
      </c>
      <c r="F430" s="66">
        <v>12732.22</v>
      </c>
      <c r="G430" s="66">
        <v>13477.34</v>
      </c>
      <c r="H430" s="67">
        <v>23284.99</v>
      </c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</row>
    <row r="431" spans="1:28" ht="12.75" customHeight="1">
      <c r="A431" s="71">
        <v>205.5</v>
      </c>
      <c r="B431" s="72">
        <v>6754.34</v>
      </c>
      <c r="C431" s="73">
        <v>10842.96</v>
      </c>
      <c r="D431" s="73">
        <v>13531.7</v>
      </c>
      <c r="E431" s="73">
        <v>18270.91</v>
      </c>
      <c r="F431" s="73">
        <v>12761.5</v>
      </c>
      <c r="G431" s="73">
        <v>13508.56</v>
      </c>
      <c r="H431" s="74">
        <v>23339.05</v>
      </c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</row>
    <row r="432" spans="1:28" ht="12.75" customHeight="1">
      <c r="A432" s="65">
        <v>206</v>
      </c>
      <c r="B432" s="75">
        <v>6769.76</v>
      </c>
      <c r="C432" s="66">
        <v>10867.79</v>
      </c>
      <c r="D432" s="66">
        <v>13564.75</v>
      </c>
      <c r="E432" s="66">
        <v>18316.3</v>
      </c>
      <c r="F432" s="66">
        <v>12790.77</v>
      </c>
      <c r="G432" s="66">
        <v>13539.78</v>
      </c>
      <c r="H432" s="67">
        <v>23393.1</v>
      </c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</row>
    <row r="433" spans="1:28" ht="12.75" customHeight="1">
      <c r="A433" s="71">
        <v>206.5</v>
      </c>
      <c r="B433" s="72">
        <v>6785.17</v>
      </c>
      <c r="C433" s="73">
        <v>10892.61</v>
      </c>
      <c r="D433" s="73">
        <v>13597.79</v>
      </c>
      <c r="E433" s="73">
        <v>18361.689999999999</v>
      </c>
      <c r="F433" s="73">
        <v>12820.04</v>
      </c>
      <c r="G433" s="73">
        <v>13571</v>
      </c>
      <c r="H433" s="74">
        <v>23447.16</v>
      </c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</row>
    <row r="434" spans="1:28" ht="12.75" customHeight="1">
      <c r="A434" s="65">
        <v>207</v>
      </c>
      <c r="B434" s="75">
        <v>6800.59</v>
      </c>
      <c r="C434" s="66">
        <v>10917.44</v>
      </c>
      <c r="D434" s="66">
        <v>13630.84</v>
      </c>
      <c r="E434" s="66">
        <v>18407.07</v>
      </c>
      <c r="F434" s="66">
        <v>12849.32</v>
      </c>
      <c r="G434" s="66">
        <v>13602.22</v>
      </c>
      <c r="H434" s="67">
        <v>23501.22</v>
      </c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</row>
    <row r="435" spans="1:28" ht="12.75" customHeight="1">
      <c r="A435" s="71">
        <v>207.5</v>
      </c>
      <c r="B435" s="72">
        <v>6816</v>
      </c>
      <c r="C435" s="73">
        <v>10942.26</v>
      </c>
      <c r="D435" s="73">
        <v>13663.89</v>
      </c>
      <c r="E435" s="73">
        <v>18452.46</v>
      </c>
      <c r="F435" s="73">
        <v>12878.59</v>
      </c>
      <c r="G435" s="73">
        <v>13633.44</v>
      </c>
      <c r="H435" s="74">
        <v>23555.279999999999</v>
      </c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</row>
    <row r="436" spans="1:28" ht="12.75" customHeight="1">
      <c r="A436" s="65">
        <v>208</v>
      </c>
      <c r="B436" s="75">
        <v>6831.42</v>
      </c>
      <c r="C436" s="66">
        <v>10967.09</v>
      </c>
      <c r="D436" s="66">
        <v>13696.93</v>
      </c>
      <c r="E436" s="66">
        <v>18497.849999999999</v>
      </c>
      <c r="F436" s="66">
        <v>12907.87</v>
      </c>
      <c r="G436" s="66">
        <v>13664.66</v>
      </c>
      <c r="H436" s="67">
        <v>23609.34</v>
      </c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</row>
    <row r="437" spans="1:28" ht="12.75" customHeight="1">
      <c r="A437" s="71">
        <v>208.5</v>
      </c>
      <c r="B437" s="72">
        <v>6846.84</v>
      </c>
      <c r="C437" s="73">
        <v>10991.92</v>
      </c>
      <c r="D437" s="73">
        <v>13729.98</v>
      </c>
      <c r="E437" s="73">
        <v>18543.23</v>
      </c>
      <c r="F437" s="73">
        <v>12937.14</v>
      </c>
      <c r="G437" s="73">
        <v>13695.89</v>
      </c>
      <c r="H437" s="74">
        <v>23663.4</v>
      </c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</row>
    <row r="438" spans="1:28" ht="12.75" customHeight="1">
      <c r="A438" s="65">
        <v>209</v>
      </c>
      <c r="B438" s="75">
        <v>6862.25</v>
      </c>
      <c r="C438" s="66">
        <v>11016.74</v>
      </c>
      <c r="D438" s="66">
        <v>13763.02</v>
      </c>
      <c r="E438" s="66">
        <v>18588.62</v>
      </c>
      <c r="F438" s="66">
        <v>12966.41</v>
      </c>
      <c r="G438" s="66">
        <v>13727.11</v>
      </c>
      <c r="H438" s="67">
        <v>23717.45</v>
      </c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  <c r="AB438" s="48"/>
    </row>
    <row r="439" spans="1:28" ht="12.75" customHeight="1">
      <c r="A439" s="71">
        <v>209.5</v>
      </c>
      <c r="B439" s="72">
        <v>6877.67</v>
      </c>
      <c r="C439" s="73">
        <v>11041.57</v>
      </c>
      <c r="D439" s="73">
        <v>13796.07</v>
      </c>
      <c r="E439" s="73">
        <v>18634.009999999998</v>
      </c>
      <c r="F439" s="73">
        <v>12995.69</v>
      </c>
      <c r="G439" s="73">
        <v>13758.33</v>
      </c>
      <c r="H439" s="74">
        <v>23771.51</v>
      </c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</row>
    <row r="440" spans="1:28" ht="12.75" customHeight="1">
      <c r="A440" s="65">
        <v>210</v>
      </c>
      <c r="B440" s="75">
        <v>6893.08</v>
      </c>
      <c r="C440" s="66">
        <v>11066.39</v>
      </c>
      <c r="D440" s="66">
        <v>13829.12</v>
      </c>
      <c r="E440" s="66">
        <v>18679.400000000001</v>
      </c>
      <c r="F440" s="66">
        <v>13024.96</v>
      </c>
      <c r="G440" s="66">
        <v>13789.55</v>
      </c>
      <c r="H440" s="67">
        <v>23825.57</v>
      </c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  <c r="AB440" s="48"/>
    </row>
    <row r="441" spans="1:28" ht="12.75" customHeight="1">
      <c r="A441" s="71">
        <v>210.5</v>
      </c>
      <c r="B441" s="72">
        <v>6908.5</v>
      </c>
      <c r="C441" s="73">
        <v>11091.22</v>
      </c>
      <c r="D441" s="73">
        <v>13862.16</v>
      </c>
      <c r="E441" s="73">
        <v>18724.78</v>
      </c>
      <c r="F441" s="73">
        <v>13054.24</v>
      </c>
      <c r="G441" s="73">
        <v>13820.77</v>
      </c>
      <c r="H441" s="74">
        <v>23879.63</v>
      </c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</row>
    <row r="442" spans="1:28" ht="12.75" customHeight="1">
      <c r="A442" s="65">
        <v>211</v>
      </c>
      <c r="B442" s="75">
        <v>6923.92</v>
      </c>
      <c r="C442" s="66">
        <v>11116.04</v>
      </c>
      <c r="D442" s="66">
        <v>13895.21</v>
      </c>
      <c r="E442" s="66">
        <v>18770.169999999998</v>
      </c>
      <c r="F442" s="66">
        <v>13083.51</v>
      </c>
      <c r="G442" s="66">
        <v>13851.99</v>
      </c>
      <c r="H442" s="67">
        <v>23933.69</v>
      </c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  <c r="AB442" s="48"/>
    </row>
    <row r="443" spans="1:28" ht="12.75" customHeight="1">
      <c r="A443" s="71">
        <v>211.5</v>
      </c>
      <c r="B443" s="72">
        <v>6939.33</v>
      </c>
      <c r="C443" s="73">
        <v>11140.87</v>
      </c>
      <c r="D443" s="73">
        <v>13928.25</v>
      </c>
      <c r="E443" s="73">
        <v>18815.560000000001</v>
      </c>
      <c r="F443" s="73">
        <v>13112.78</v>
      </c>
      <c r="G443" s="73">
        <v>13883.22</v>
      </c>
      <c r="H443" s="74">
        <v>23987.75</v>
      </c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</row>
    <row r="444" spans="1:28" ht="12.75" customHeight="1">
      <c r="A444" s="65">
        <v>212</v>
      </c>
      <c r="B444" s="75">
        <v>6954.75</v>
      </c>
      <c r="C444" s="66">
        <v>11165.69</v>
      </c>
      <c r="D444" s="66">
        <v>13961.3</v>
      </c>
      <c r="E444" s="66">
        <v>18860.939999999999</v>
      </c>
      <c r="F444" s="66">
        <v>13142.06</v>
      </c>
      <c r="G444" s="66">
        <v>13914.44</v>
      </c>
      <c r="H444" s="67">
        <v>24041.81</v>
      </c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</row>
    <row r="445" spans="1:28" ht="12.75" customHeight="1">
      <c r="A445" s="71">
        <v>212.5</v>
      </c>
      <c r="B445" s="72">
        <v>6970.16</v>
      </c>
      <c r="C445" s="73">
        <v>11190.52</v>
      </c>
      <c r="D445" s="73">
        <v>13994.35</v>
      </c>
      <c r="E445" s="73">
        <v>18906.330000000002</v>
      </c>
      <c r="F445" s="73">
        <v>13171.33</v>
      </c>
      <c r="G445" s="73">
        <v>13945.66</v>
      </c>
      <c r="H445" s="74">
        <v>24095.86</v>
      </c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</row>
    <row r="446" spans="1:28" ht="12.75" customHeight="1">
      <c r="A446" s="65">
        <v>213</v>
      </c>
      <c r="B446" s="75">
        <v>6985.58</v>
      </c>
      <c r="C446" s="66">
        <v>11215.35</v>
      </c>
      <c r="D446" s="66">
        <v>14027.39</v>
      </c>
      <c r="E446" s="66">
        <v>18951.72</v>
      </c>
      <c r="F446" s="66">
        <v>13200.61</v>
      </c>
      <c r="G446" s="66">
        <v>13976.88</v>
      </c>
      <c r="H446" s="67">
        <v>24149.919999999998</v>
      </c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  <c r="AB446" s="48"/>
    </row>
    <row r="447" spans="1:28" ht="12.75" customHeight="1">
      <c r="A447" s="71">
        <v>213.5</v>
      </c>
      <c r="B447" s="72">
        <v>7001</v>
      </c>
      <c r="C447" s="73">
        <v>11240.17</v>
      </c>
      <c r="D447" s="73">
        <v>14060.44</v>
      </c>
      <c r="E447" s="73">
        <v>18997.099999999999</v>
      </c>
      <c r="F447" s="73">
        <v>13229.88</v>
      </c>
      <c r="G447" s="73">
        <v>14008.1</v>
      </c>
      <c r="H447" s="74">
        <v>24203.98</v>
      </c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</row>
    <row r="448" spans="1:28" ht="12.75" customHeight="1">
      <c r="A448" s="65">
        <v>214</v>
      </c>
      <c r="B448" s="75">
        <v>7016.41</v>
      </c>
      <c r="C448" s="66">
        <v>11265</v>
      </c>
      <c r="D448" s="66">
        <v>14093.48</v>
      </c>
      <c r="E448" s="66">
        <v>19042.490000000002</v>
      </c>
      <c r="F448" s="66">
        <v>13259.15</v>
      </c>
      <c r="G448" s="66">
        <v>14039.32</v>
      </c>
      <c r="H448" s="67">
        <v>24258.04</v>
      </c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  <c r="AB448" s="48"/>
    </row>
    <row r="449" spans="1:28" ht="12.75" customHeight="1">
      <c r="A449" s="71">
        <v>214.5</v>
      </c>
      <c r="B449" s="72">
        <v>7031.83</v>
      </c>
      <c r="C449" s="73">
        <v>11289.82</v>
      </c>
      <c r="D449" s="73">
        <v>14126.53</v>
      </c>
      <c r="E449" s="73">
        <v>19087.88</v>
      </c>
      <c r="F449" s="73">
        <v>13288.43</v>
      </c>
      <c r="G449" s="73">
        <v>14070.54</v>
      </c>
      <c r="H449" s="74">
        <v>24312.1</v>
      </c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</row>
    <row r="450" spans="1:28" ht="12.75" customHeight="1">
      <c r="A450" s="65">
        <v>215</v>
      </c>
      <c r="B450" s="75">
        <v>7047.24</v>
      </c>
      <c r="C450" s="66">
        <v>11314.65</v>
      </c>
      <c r="D450" s="66">
        <v>14159.58</v>
      </c>
      <c r="E450" s="66">
        <v>19133.27</v>
      </c>
      <c r="F450" s="66">
        <v>13317.7</v>
      </c>
      <c r="G450" s="66">
        <v>14101.77</v>
      </c>
      <c r="H450" s="67">
        <v>24366.16</v>
      </c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  <c r="AB450" s="48"/>
    </row>
    <row r="451" spans="1:28" ht="12.75" customHeight="1">
      <c r="A451" s="71">
        <v>215.5</v>
      </c>
      <c r="B451" s="72">
        <v>7062.66</v>
      </c>
      <c r="C451" s="73">
        <v>11339.47</v>
      </c>
      <c r="D451" s="73">
        <v>14192.62</v>
      </c>
      <c r="E451" s="73">
        <v>19178.650000000001</v>
      </c>
      <c r="F451" s="73">
        <v>13346.98</v>
      </c>
      <c r="G451" s="73">
        <v>14132.99</v>
      </c>
      <c r="H451" s="74">
        <v>24420.22</v>
      </c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</row>
    <row r="452" spans="1:28" ht="12.75" customHeight="1">
      <c r="A452" s="65">
        <v>216</v>
      </c>
      <c r="B452" s="75">
        <v>7078.08</v>
      </c>
      <c r="C452" s="66">
        <v>11364.3</v>
      </c>
      <c r="D452" s="66">
        <v>14225.67</v>
      </c>
      <c r="E452" s="66">
        <v>19224.04</v>
      </c>
      <c r="F452" s="66">
        <v>13376.25</v>
      </c>
      <c r="G452" s="66">
        <v>14164.21</v>
      </c>
      <c r="H452" s="67">
        <v>24474.27</v>
      </c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  <c r="AB452" s="48"/>
    </row>
    <row r="453" spans="1:28" ht="12.75" customHeight="1">
      <c r="A453" s="71">
        <v>216.5</v>
      </c>
      <c r="B453" s="72">
        <v>7093.49</v>
      </c>
      <c r="C453" s="73">
        <v>11389.12</v>
      </c>
      <c r="D453" s="73">
        <v>14258.71</v>
      </c>
      <c r="E453" s="73">
        <v>19269.43</v>
      </c>
      <c r="F453" s="73">
        <v>13405.52</v>
      </c>
      <c r="G453" s="73">
        <v>14195.43</v>
      </c>
      <c r="H453" s="74">
        <v>24528.33</v>
      </c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</row>
    <row r="454" spans="1:28" ht="12.75" customHeight="1">
      <c r="A454" s="65">
        <v>217</v>
      </c>
      <c r="B454" s="75">
        <v>7108.91</v>
      </c>
      <c r="C454" s="66">
        <v>11413.95</v>
      </c>
      <c r="D454" s="66">
        <v>14291.76</v>
      </c>
      <c r="E454" s="66">
        <v>19314.810000000001</v>
      </c>
      <c r="F454" s="66">
        <v>13434.8</v>
      </c>
      <c r="G454" s="66">
        <v>14226.65</v>
      </c>
      <c r="H454" s="67">
        <v>24582.39</v>
      </c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  <c r="AB454" s="48"/>
    </row>
    <row r="455" spans="1:28" ht="12.75" customHeight="1">
      <c r="A455" s="71">
        <v>217.5</v>
      </c>
      <c r="B455" s="72">
        <v>7124.32</v>
      </c>
      <c r="C455" s="73">
        <v>11438.77</v>
      </c>
      <c r="D455" s="73">
        <v>14324.81</v>
      </c>
      <c r="E455" s="73">
        <v>19360.2</v>
      </c>
      <c r="F455" s="73">
        <v>13464.07</v>
      </c>
      <c r="G455" s="73">
        <v>14257.87</v>
      </c>
      <c r="H455" s="74">
        <v>24636.45</v>
      </c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</row>
    <row r="456" spans="1:28" ht="12.75" customHeight="1">
      <c r="A456" s="65">
        <v>218</v>
      </c>
      <c r="B456" s="75">
        <v>7139.74</v>
      </c>
      <c r="C456" s="66">
        <v>11463.6</v>
      </c>
      <c r="D456" s="66">
        <v>14357.85</v>
      </c>
      <c r="E456" s="66">
        <v>19405.59</v>
      </c>
      <c r="F456" s="66">
        <v>13493.35</v>
      </c>
      <c r="G456" s="66">
        <v>14289.09</v>
      </c>
      <c r="H456" s="67">
        <v>24690.51</v>
      </c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  <c r="AB456" s="48"/>
    </row>
    <row r="457" spans="1:28" ht="12.75" customHeight="1">
      <c r="A457" s="71">
        <v>218.5</v>
      </c>
      <c r="B457" s="72">
        <v>7155.16</v>
      </c>
      <c r="C457" s="73">
        <v>11488.43</v>
      </c>
      <c r="D457" s="73">
        <v>14390.9</v>
      </c>
      <c r="E457" s="73">
        <v>19450.97</v>
      </c>
      <c r="F457" s="73">
        <v>13522.62</v>
      </c>
      <c r="G457" s="73">
        <v>14320.32</v>
      </c>
      <c r="H457" s="74">
        <v>24744.57</v>
      </c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</row>
    <row r="458" spans="1:28" ht="12.75" customHeight="1">
      <c r="A458" s="65">
        <v>219</v>
      </c>
      <c r="B458" s="75">
        <v>7170.57</v>
      </c>
      <c r="C458" s="66">
        <v>11513.25</v>
      </c>
      <c r="D458" s="66">
        <v>14423.94</v>
      </c>
      <c r="E458" s="66">
        <v>19496.36</v>
      </c>
      <c r="F458" s="66">
        <v>13551.89</v>
      </c>
      <c r="G458" s="66">
        <v>14351.54</v>
      </c>
      <c r="H458" s="67">
        <v>24798.62</v>
      </c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  <c r="AB458" s="48"/>
    </row>
    <row r="459" spans="1:28" ht="12.75" customHeight="1">
      <c r="A459" s="71">
        <v>219.5</v>
      </c>
      <c r="B459" s="72">
        <v>7185.99</v>
      </c>
      <c r="C459" s="73">
        <v>11538.08</v>
      </c>
      <c r="D459" s="73">
        <v>14456.99</v>
      </c>
      <c r="E459" s="73">
        <v>19541.75</v>
      </c>
      <c r="F459" s="73">
        <v>13581.17</v>
      </c>
      <c r="G459" s="73">
        <v>14382.76</v>
      </c>
      <c r="H459" s="74">
        <v>24852.68</v>
      </c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</row>
    <row r="460" spans="1:28" ht="12.75" customHeight="1">
      <c r="A460" s="65">
        <v>220</v>
      </c>
      <c r="B460" s="75">
        <v>7201.4</v>
      </c>
      <c r="C460" s="66">
        <v>11562.9</v>
      </c>
      <c r="D460" s="66">
        <v>14490.04</v>
      </c>
      <c r="E460" s="66">
        <v>19587.14</v>
      </c>
      <c r="F460" s="66">
        <v>13610.44</v>
      </c>
      <c r="G460" s="66">
        <v>14413.98</v>
      </c>
      <c r="H460" s="67">
        <v>24906.74</v>
      </c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  <c r="AB460" s="48"/>
    </row>
    <row r="461" spans="1:28" ht="12.75" customHeight="1">
      <c r="A461" s="71">
        <v>220.5</v>
      </c>
      <c r="B461" s="72">
        <v>7216.82</v>
      </c>
      <c r="C461" s="73">
        <v>11587.73</v>
      </c>
      <c r="D461" s="73">
        <v>14523.08</v>
      </c>
      <c r="E461" s="73">
        <v>19632.52</v>
      </c>
      <c r="F461" s="73">
        <v>13639.72</v>
      </c>
      <c r="G461" s="73">
        <v>14445.2</v>
      </c>
      <c r="H461" s="74">
        <v>24960.799999999999</v>
      </c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</row>
    <row r="462" spans="1:28" ht="12.75" customHeight="1">
      <c r="A462" s="65">
        <v>221</v>
      </c>
      <c r="B462" s="75">
        <v>7232.24</v>
      </c>
      <c r="C462" s="66">
        <v>11612.55</v>
      </c>
      <c r="D462" s="66">
        <v>14556.13</v>
      </c>
      <c r="E462" s="66">
        <v>19677.91</v>
      </c>
      <c r="F462" s="66">
        <v>13668.99</v>
      </c>
      <c r="G462" s="66">
        <v>14476.42</v>
      </c>
      <c r="H462" s="67">
        <v>25014.86</v>
      </c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  <c r="AB462" s="48"/>
    </row>
    <row r="463" spans="1:28" ht="12.75" customHeight="1">
      <c r="A463" s="71">
        <v>221.5</v>
      </c>
      <c r="B463" s="72">
        <v>7247.65</v>
      </c>
      <c r="C463" s="73">
        <v>11637.38</v>
      </c>
      <c r="D463" s="73">
        <v>14589.17</v>
      </c>
      <c r="E463" s="73">
        <v>19723.3</v>
      </c>
      <c r="F463" s="73">
        <v>13698.26</v>
      </c>
      <c r="G463" s="73">
        <v>14507.65</v>
      </c>
      <c r="H463" s="74">
        <v>25068.92</v>
      </c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</row>
    <row r="464" spans="1:28" ht="12.75" customHeight="1">
      <c r="A464" s="65">
        <v>222</v>
      </c>
      <c r="B464" s="75">
        <v>7263.07</v>
      </c>
      <c r="C464" s="66">
        <v>11662.2</v>
      </c>
      <c r="D464" s="66">
        <v>14622.22</v>
      </c>
      <c r="E464" s="66">
        <v>19768.68</v>
      </c>
      <c r="F464" s="66">
        <v>13727.54</v>
      </c>
      <c r="G464" s="66">
        <v>14538.87</v>
      </c>
      <c r="H464" s="67">
        <v>25122.98</v>
      </c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  <c r="AB464" s="48"/>
    </row>
    <row r="465" spans="1:28" ht="12.75" customHeight="1">
      <c r="A465" s="71">
        <v>222.5</v>
      </c>
      <c r="B465" s="72">
        <v>7278.48</v>
      </c>
      <c r="C465" s="73">
        <v>11687.03</v>
      </c>
      <c r="D465" s="73">
        <v>14655.27</v>
      </c>
      <c r="E465" s="73">
        <v>19814.07</v>
      </c>
      <c r="F465" s="73">
        <v>13756.81</v>
      </c>
      <c r="G465" s="73">
        <v>14570.09</v>
      </c>
      <c r="H465" s="74">
        <v>25177.03</v>
      </c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</row>
    <row r="466" spans="1:28" ht="12.75" customHeight="1">
      <c r="A466" s="65">
        <v>223</v>
      </c>
      <c r="B466" s="75">
        <v>7293.9</v>
      </c>
      <c r="C466" s="66">
        <v>11711.86</v>
      </c>
      <c r="D466" s="66">
        <v>14688.31</v>
      </c>
      <c r="E466" s="66">
        <v>19859.46</v>
      </c>
      <c r="F466" s="66">
        <v>13786.09</v>
      </c>
      <c r="G466" s="66">
        <v>14601.31</v>
      </c>
      <c r="H466" s="67">
        <v>25231.09</v>
      </c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  <c r="AB466" s="48"/>
    </row>
    <row r="467" spans="1:28" ht="12.75" customHeight="1">
      <c r="A467" s="71">
        <v>223.5</v>
      </c>
      <c r="B467" s="72">
        <v>7309.32</v>
      </c>
      <c r="C467" s="73">
        <v>11736.68</v>
      </c>
      <c r="D467" s="73">
        <v>14721.36</v>
      </c>
      <c r="E467" s="73">
        <v>19904.84</v>
      </c>
      <c r="F467" s="73">
        <v>13815.36</v>
      </c>
      <c r="G467" s="73">
        <v>14632.53</v>
      </c>
      <c r="H467" s="74">
        <v>25285.15</v>
      </c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</row>
    <row r="468" spans="1:28" ht="12.75" customHeight="1">
      <c r="A468" s="65">
        <v>224</v>
      </c>
      <c r="B468" s="75">
        <v>7324.73</v>
      </c>
      <c r="C468" s="66">
        <v>11761.51</v>
      </c>
      <c r="D468" s="66">
        <v>14754.4</v>
      </c>
      <c r="E468" s="66">
        <v>19950.23</v>
      </c>
      <c r="F468" s="66">
        <v>13844.63</v>
      </c>
      <c r="G468" s="66">
        <v>14663.75</v>
      </c>
      <c r="H468" s="67">
        <v>25339.21</v>
      </c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  <c r="AB468" s="48"/>
    </row>
    <row r="469" spans="1:28" ht="12.75" customHeight="1">
      <c r="A469" s="71">
        <v>224.5</v>
      </c>
      <c r="B469" s="72">
        <v>7340.15</v>
      </c>
      <c r="C469" s="73">
        <v>11786.33</v>
      </c>
      <c r="D469" s="73">
        <v>14787.45</v>
      </c>
      <c r="E469" s="73">
        <v>19995.62</v>
      </c>
      <c r="F469" s="73">
        <v>13873.91</v>
      </c>
      <c r="G469" s="73">
        <v>14694.97</v>
      </c>
      <c r="H469" s="74">
        <v>25393.27</v>
      </c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</row>
    <row r="470" spans="1:28" ht="12.75" customHeight="1">
      <c r="A470" s="65">
        <v>225</v>
      </c>
      <c r="B470" s="75">
        <v>7355.56</v>
      </c>
      <c r="C470" s="66">
        <v>11811.16</v>
      </c>
      <c r="D470" s="66">
        <v>14820.5</v>
      </c>
      <c r="E470" s="66">
        <v>20041.009999999998</v>
      </c>
      <c r="F470" s="66">
        <v>13903.18</v>
      </c>
      <c r="G470" s="66">
        <v>14726.2</v>
      </c>
      <c r="H470" s="67">
        <v>25447.33</v>
      </c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  <c r="AB470" s="48"/>
    </row>
    <row r="471" spans="1:28" ht="12.75" customHeight="1">
      <c r="A471" s="71">
        <v>225.5</v>
      </c>
      <c r="B471" s="72">
        <v>7370.98</v>
      </c>
      <c r="C471" s="73">
        <v>11835.98</v>
      </c>
      <c r="D471" s="73">
        <v>14853.54</v>
      </c>
      <c r="E471" s="73">
        <v>20086.39</v>
      </c>
      <c r="F471" s="73">
        <v>13932.46</v>
      </c>
      <c r="G471" s="73">
        <v>14757.42</v>
      </c>
      <c r="H471" s="74">
        <v>25501.39</v>
      </c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</row>
    <row r="472" spans="1:28" ht="12.75" customHeight="1">
      <c r="A472" s="65">
        <v>226</v>
      </c>
      <c r="B472" s="75">
        <v>7386.4</v>
      </c>
      <c r="C472" s="66">
        <v>11860.81</v>
      </c>
      <c r="D472" s="66">
        <v>14886.59</v>
      </c>
      <c r="E472" s="66">
        <v>20131.78</v>
      </c>
      <c r="F472" s="66">
        <v>13961.73</v>
      </c>
      <c r="G472" s="66">
        <v>14788.64</v>
      </c>
      <c r="H472" s="67">
        <v>25555.439999999999</v>
      </c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  <c r="AB472" s="48"/>
    </row>
    <row r="473" spans="1:28" ht="12.75" customHeight="1">
      <c r="A473" s="71">
        <v>226.5</v>
      </c>
      <c r="B473" s="72">
        <v>7401.81</v>
      </c>
      <c r="C473" s="73">
        <v>11885.63</v>
      </c>
      <c r="D473" s="73">
        <v>14919.63</v>
      </c>
      <c r="E473" s="73">
        <v>20177.169999999998</v>
      </c>
      <c r="F473" s="73">
        <v>13991</v>
      </c>
      <c r="G473" s="73">
        <v>14819.86</v>
      </c>
      <c r="H473" s="74">
        <v>25609.5</v>
      </c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</row>
    <row r="474" spans="1:28" ht="12.75" customHeight="1">
      <c r="A474" s="65">
        <v>227</v>
      </c>
      <c r="B474" s="75">
        <v>7417.23</v>
      </c>
      <c r="C474" s="66">
        <v>11910.46</v>
      </c>
      <c r="D474" s="66">
        <v>14952.68</v>
      </c>
      <c r="E474" s="66">
        <v>20222.55</v>
      </c>
      <c r="F474" s="66">
        <v>14020.28</v>
      </c>
      <c r="G474" s="66">
        <v>14851.08</v>
      </c>
      <c r="H474" s="67">
        <v>25663.56</v>
      </c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  <c r="AB474" s="48"/>
    </row>
    <row r="475" spans="1:28" ht="12.75" customHeight="1">
      <c r="A475" s="71">
        <v>227.5</v>
      </c>
      <c r="B475" s="72">
        <v>7432.64</v>
      </c>
      <c r="C475" s="73">
        <v>11935.28</v>
      </c>
      <c r="D475" s="73">
        <v>14985.73</v>
      </c>
      <c r="E475" s="73">
        <v>20267.939999999999</v>
      </c>
      <c r="F475" s="73">
        <v>14049.55</v>
      </c>
      <c r="G475" s="73">
        <v>14882.3</v>
      </c>
      <c r="H475" s="74">
        <v>25717.62</v>
      </c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</row>
    <row r="476" spans="1:28" ht="12.75" customHeight="1">
      <c r="A476" s="65">
        <v>228</v>
      </c>
      <c r="B476" s="75">
        <v>7448.06</v>
      </c>
      <c r="C476" s="66">
        <v>11960.11</v>
      </c>
      <c r="D476" s="66">
        <v>15018.77</v>
      </c>
      <c r="E476" s="66">
        <v>20313.330000000002</v>
      </c>
      <c r="F476" s="66">
        <v>14078.83</v>
      </c>
      <c r="G476" s="66">
        <v>14913.52</v>
      </c>
      <c r="H476" s="67">
        <v>25771.68</v>
      </c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  <c r="AB476" s="48"/>
    </row>
    <row r="477" spans="1:28" ht="12.75" customHeight="1">
      <c r="A477" s="71">
        <v>228.5</v>
      </c>
      <c r="B477" s="72">
        <v>7463.48</v>
      </c>
      <c r="C477" s="73">
        <v>11984.94</v>
      </c>
      <c r="D477" s="73">
        <v>15051.82</v>
      </c>
      <c r="E477" s="73">
        <v>20358.71</v>
      </c>
      <c r="F477" s="73">
        <v>14108.1</v>
      </c>
      <c r="G477" s="73">
        <v>14944.75</v>
      </c>
      <c r="H477" s="74">
        <v>25825.74</v>
      </c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</row>
    <row r="478" spans="1:28" ht="12.75" customHeight="1">
      <c r="A478" s="65">
        <v>229</v>
      </c>
      <c r="B478" s="75">
        <v>7478.89</v>
      </c>
      <c r="C478" s="66">
        <v>12009.76</v>
      </c>
      <c r="D478" s="66">
        <v>15084.86</v>
      </c>
      <c r="E478" s="66">
        <v>20404.099999999999</v>
      </c>
      <c r="F478" s="66">
        <v>14137.37</v>
      </c>
      <c r="G478" s="66">
        <v>14975.97</v>
      </c>
      <c r="H478" s="67">
        <v>25879.79</v>
      </c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  <c r="AB478" s="48"/>
    </row>
    <row r="479" spans="1:28" ht="12.75" customHeight="1">
      <c r="A479" s="71">
        <v>229.5</v>
      </c>
      <c r="B479" s="72">
        <v>7494.31</v>
      </c>
      <c r="C479" s="73">
        <v>12034.59</v>
      </c>
      <c r="D479" s="73">
        <v>15117.91</v>
      </c>
      <c r="E479" s="73">
        <v>20449.490000000002</v>
      </c>
      <c r="F479" s="73">
        <v>14166.65</v>
      </c>
      <c r="G479" s="73">
        <v>15007.19</v>
      </c>
      <c r="H479" s="74">
        <v>25933.85</v>
      </c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</row>
    <row r="480" spans="1:28" ht="12.75" customHeight="1">
      <c r="A480" s="65">
        <v>230</v>
      </c>
      <c r="B480" s="75">
        <v>7509.72</v>
      </c>
      <c r="C480" s="66">
        <v>12059.41</v>
      </c>
      <c r="D480" s="66">
        <v>15150.96</v>
      </c>
      <c r="E480" s="66">
        <v>20494.88</v>
      </c>
      <c r="F480" s="66">
        <v>14195.92</v>
      </c>
      <c r="G480" s="66">
        <v>15038.41</v>
      </c>
      <c r="H480" s="67">
        <v>25987.91</v>
      </c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  <c r="AB480" s="48"/>
    </row>
    <row r="481" spans="1:28" ht="12.75" customHeight="1">
      <c r="A481" s="71">
        <v>230.5</v>
      </c>
      <c r="B481" s="72">
        <v>7525.14</v>
      </c>
      <c r="C481" s="73">
        <v>12084.24</v>
      </c>
      <c r="D481" s="73">
        <v>15184</v>
      </c>
      <c r="E481" s="73">
        <v>20540.259999999998</v>
      </c>
      <c r="F481" s="73">
        <v>14225.2</v>
      </c>
      <c r="G481" s="73">
        <v>15069.63</v>
      </c>
      <c r="H481" s="74">
        <v>26041.97</v>
      </c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</row>
    <row r="482" spans="1:28" ht="12.75" customHeight="1">
      <c r="A482" s="65">
        <v>231</v>
      </c>
      <c r="B482" s="75">
        <v>7540.56</v>
      </c>
      <c r="C482" s="66">
        <v>12109.06</v>
      </c>
      <c r="D482" s="66">
        <v>15217.05</v>
      </c>
      <c r="E482" s="66">
        <v>20585.650000000001</v>
      </c>
      <c r="F482" s="66">
        <v>14254.47</v>
      </c>
      <c r="G482" s="66">
        <v>15100.85</v>
      </c>
      <c r="H482" s="67">
        <v>26096.03</v>
      </c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  <c r="AB482" s="48"/>
    </row>
    <row r="483" spans="1:28" ht="12.75" customHeight="1">
      <c r="A483" s="71">
        <v>231.5</v>
      </c>
      <c r="B483" s="72">
        <v>7555.97</v>
      </c>
      <c r="C483" s="73">
        <v>12133.89</v>
      </c>
      <c r="D483" s="73">
        <v>15250.09</v>
      </c>
      <c r="E483" s="73">
        <v>20631.04</v>
      </c>
      <c r="F483" s="73">
        <v>14283.74</v>
      </c>
      <c r="G483" s="73">
        <v>15132.08</v>
      </c>
      <c r="H483" s="74">
        <v>26150.09</v>
      </c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</row>
    <row r="484" spans="1:28" ht="12.75" customHeight="1">
      <c r="A484" s="65">
        <v>232</v>
      </c>
      <c r="B484" s="75">
        <v>7571.39</v>
      </c>
      <c r="C484" s="66">
        <v>12158.71</v>
      </c>
      <c r="D484" s="66">
        <v>15283.14</v>
      </c>
      <c r="E484" s="66">
        <v>20676.419999999998</v>
      </c>
      <c r="F484" s="66">
        <v>14313.02</v>
      </c>
      <c r="G484" s="66">
        <v>15163.3</v>
      </c>
      <c r="H484" s="67">
        <v>26204.15</v>
      </c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  <c r="AB484" s="48"/>
    </row>
    <row r="485" spans="1:28" ht="12.75" customHeight="1">
      <c r="A485" s="71">
        <v>232.5</v>
      </c>
      <c r="B485" s="72">
        <v>7586.8</v>
      </c>
      <c r="C485" s="73">
        <v>12183.54</v>
      </c>
      <c r="D485" s="73">
        <v>15316.19</v>
      </c>
      <c r="E485" s="73">
        <v>20721.810000000001</v>
      </c>
      <c r="F485" s="73">
        <v>14342.29</v>
      </c>
      <c r="G485" s="73">
        <v>15194.52</v>
      </c>
      <c r="H485" s="74">
        <v>26258.2</v>
      </c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</row>
    <row r="486" spans="1:28" ht="12.75" customHeight="1">
      <c r="A486" s="65">
        <v>233</v>
      </c>
      <c r="B486" s="75">
        <v>7602.22</v>
      </c>
      <c r="C486" s="66">
        <v>12208.37</v>
      </c>
      <c r="D486" s="66">
        <v>15349.23</v>
      </c>
      <c r="E486" s="66">
        <v>20767.2</v>
      </c>
      <c r="F486" s="66">
        <v>14371.57</v>
      </c>
      <c r="G486" s="66">
        <v>15225.74</v>
      </c>
      <c r="H486" s="67">
        <v>26312.26</v>
      </c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48"/>
    </row>
    <row r="487" spans="1:28" ht="12.75" customHeight="1">
      <c r="A487" s="71">
        <v>233.5</v>
      </c>
      <c r="B487" s="72">
        <v>7617.64</v>
      </c>
      <c r="C487" s="73">
        <v>12233.19</v>
      </c>
      <c r="D487" s="73">
        <v>15382.28</v>
      </c>
      <c r="E487" s="73">
        <v>20812.580000000002</v>
      </c>
      <c r="F487" s="73">
        <v>14400.84</v>
      </c>
      <c r="G487" s="73">
        <v>15256.96</v>
      </c>
      <c r="H487" s="74">
        <v>26366.32</v>
      </c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</row>
    <row r="488" spans="1:28" ht="12.75" customHeight="1">
      <c r="A488" s="65">
        <v>234</v>
      </c>
      <c r="B488" s="75">
        <v>7633.05</v>
      </c>
      <c r="C488" s="66">
        <v>12258.02</v>
      </c>
      <c r="D488" s="66">
        <v>15415.32</v>
      </c>
      <c r="E488" s="66">
        <v>20857.97</v>
      </c>
      <c r="F488" s="66">
        <v>14430.11</v>
      </c>
      <c r="G488" s="66">
        <v>15288.18</v>
      </c>
      <c r="H488" s="67">
        <v>26420.38</v>
      </c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  <c r="AB488" s="48"/>
    </row>
    <row r="489" spans="1:28" ht="12.75" customHeight="1">
      <c r="A489" s="71">
        <v>234.5</v>
      </c>
      <c r="B489" s="72">
        <v>7648.47</v>
      </c>
      <c r="C489" s="73">
        <v>12282.84</v>
      </c>
      <c r="D489" s="73">
        <v>15448.37</v>
      </c>
      <c r="E489" s="73">
        <v>20903.36</v>
      </c>
      <c r="F489" s="73">
        <v>14459.39</v>
      </c>
      <c r="G489" s="73">
        <v>15319.4</v>
      </c>
      <c r="H489" s="74">
        <v>26474.44</v>
      </c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</row>
    <row r="490" spans="1:28" ht="12.75" customHeight="1">
      <c r="A490" s="65">
        <v>235</v>
      </c>
      <c r="B490" s="75">
        <v>7663.88</v>
      </c>
      <c r="C490" s="66">
        <v>12307.67</v>
      </c>
      <c r="D490" s="66">
        <v>15481.42</v>
      </c>
      <c r="E490" s="66">
        <v>20948.75</v>
      </c>
      <c r="F490" s="66">
        <v>14488.66</v>
      </c>
      <c r="G490" s="66">
        <v>15350.63</v>
      </c>
      <c r="H490" s="67">
        <v>26528.5</v>
      </c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  <c r="AB490" s="48"/>
    </row>
    <row r="491" spans="1:28" ht="12.75" customHeight="1">
      <c r="A491" s="71">
        <v>235.5</v>
      </c>
      <c r="B491" s="72">
        <v>7679.3</v>
      </c>
      <c r="C491" s="73">
        <v>12332.49</v>
      </c>
      <c r="D491" s="73">
        <v>15514.46</v>
      </c>
      <c r="E491" s="73">
        <v>20994.13</v>
      </c>
      <c r="F491" s="73">
        <v>14517.94</v>
      </c>
      <c r="G491" s="73">
        <v>15381.85</v>
      </c>
      <c r="H491" s="74">
        <v>26582.560000000001</v>
      </c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</row>
    <row r="492" spans="1:28" ht="12.75" customHeight="1">
      <c r="A492" s="65">
        <v>236</v>
      </c>
      <c r="B492" s="75">
        <v>7694.72</v>
      </c>
      <c r="C492" s="66">
        <v>12357.32</v>
      </c>
      <c r="D492" s="66">
        <v>15547.51</v>
      </c>
      <c r="E492" s="66">
        <v>21039.52</v>
      </c>
      <c r="F492" s="66">
        <v>14547.21</v>
      </c>
      <c r="G492" s="66">
        <v>15413.07</v>
      </c>
      <c r="H492" s="67">
        <v>26636.61</v>
      </c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  <c r="AB492" s="48"/>
    </row>
    <row r="493" spans="1:28" ht="12.75" customHeight="1">
      <c r="A493" s="71">
        <v>236.5</v>
      </c>
      <c r="B493" s="72">
        <v>7710.13</v>
      </c>
      <c r="C493" s="73">
        <v>12382.14</v>
      </c>
      <c r="D493" s="73">
        <v>15580.55</v>
      </c>
      <c r="E493" s="73">
        <v>21084.91</v>
      </c>
      <c r="F493" s="73">
        <v>14576.48</v>
      </c>
      <c r="G493" s="73">
        <v>15444.29</v>
      </c>
      <c r="H493" s="74">
        <v>26690.67</v>
      </c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</row>
    <row r="494" spans="1:28" ht="12.75" customHeight="1">
      <c r="A494" s="65">
        <v>237</v>
      </c>
      <c r="B494" s="75">
        <v>7725.55</v>
      </c>
      <c r="C494" s="66">
        <v>12406.97</v>
      </c>
      <c r="D494" s="66">
        <v>15613.6</v>
      </c>
      <c r="E494" s="66">
        <v>21130.29</v>
      </c>
      <c r="F494" s="66">
        <v>14605.76</v>
      </c>
      <c r="G494" s="66">
        <v>15475.51</v>
      </c>
      <c r="H494" s="67">
        <v>26744.73</v>
      </c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  <c r="AB494" s="48"/>
    </row>
    <row r="495" spans="1:28" ht="12.75" customHeight="1">
      <c r="A495" s="71">
        <v>237.5</v>
      </c>
      <c r="B495" s="72">
        <v>7740.96</v>
      </c>
      <c r="C495" s="73">
        <v>12431.79</v>
      </c>
      <c r="D495" s="73">
        <v>15646.65</v>
      </c>
      <c r="E495" s="73">
        <v>21175.68</v>
      </c>
      <c r="F495" s="73">
        <v>14635.03</v>
      </c>
      <c r="G495" s="73">
        <v>15506.73</v>
      </c>
      <c r="H495" s="74">
        <v>26798.79</v>
      </c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</row>
    <row r="496" spans="1:28" ht="12.75" customHeight="1">
      <c r="A496" s="65">
        <v>238</v>
      </c>
      <c r="B496" s="75">
        <v>7756.38</v>
      </c>
      <c r="C496" s="66">
        <v>12456.62</v>
      </c>
      <c r="D496" s="66">
        <v>15679.69</v>
      </c>
      <c r="E496" s="66">
        <v>21221.07</v>
      </c>
      <c r="F496" s="66">
        <v>14664.31</v>
      </c>
      <c r="G496" s="66">
        <v>15537.95</v>
      </c>
      <c r="H496" s="67">
        <v>26852.85</v>
      </c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  <c r="AB496" s="48"/>
    </row>
    <row r="497" spans="1:28" ht="12.75" customHeight="1">
      <c r="A497" s="71">
        <v>238.5</v>
      </c>
      <c r="B497" s="72">
        <v>7771.8</v>
      </c>
      <c r="C497" s="73">
        <v>12481.45</v>
      </c>
      <c r="D497" s="73">
        <v>15712.74</v>
      </c>
      <c r="E497" s="73">
        <v>21266.45</v>
      </c>
      <c r="F497" s="73">
        <v>14693.58</v>
      </c>
      <c r="G497" s="73">
        <v>15569.18</v>
      </c>
      <c r="H497" s="74">
        <v>26906.91</v>
      </c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</row>
    <row r="498" spans="1:28" ht="12.75" customHeight="1">
      <c r="A498" s="65">
        <v>239</v>
      </c>
      <c r="B498" s="75">
        <v>7787.21</v>
      </c>
      <c r="C498" s="66">
        <v>12506.27</v>
      </c>
      <c r="D498" s="66">
        <v>15745.78</v>
      </c>
      <c r="E498" s="66">
        <v>21311.84</v>
      </c>
      <c r="F498" s="66">
        <v>14722.85</v>
      </c>
      <c r="G498" s="66">
        <v>15600.4</v>
      </c>
      <c r="H498" s="67">
        <v>26960.959999999999</v>
      </c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  <c r="AB498" s="48"/>
    </row>
    <row r="499" spans="1:28" ht="12.75" customHeight="1">
      <c r="A499" s="71">
        <v>239.5</v>
      </c>
      <c r="B499" s="72">
        <v>7802.63</v>
      </c>
      <c r="C499" s="73">
        <v>12531.1</v>
      </c>
      <c r="D499" s="73">
        <v>15778.83</v>
      </c>
      <c r="E499" s="73">
        <v>21357.23</v>
      </c>
      <c r="F499" s="73">
        <v>14752.13</v>
      </c>
      <c r="G499" s="73">
        <v>15631.62</v>
      </c>
      <c r="H499" s="74">
        <v>27015.02</v>
      </c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</row>
    <row r="500" spans="1:28" ht="12.75" customHeight="1">
      <c r="A500" s="65">
        <v>240</v>
      </c>
      <c r="B500" s="75">
        <v>7818.04</v>
      </c>
      <c r="C500" s="66">
        <v>12555.92</v>
      </c>
      <c r="D500" s="66">
        <v>15811.88</v>
      </c>
      <c r="E500" s="66">
        <v>21402.62</v>
      </c>
      <c r="F500" s="66">
        <v>14781.4</v>
      </c>
      <c r="G500" s="66">
        <v>15662.84</v>
      </c>
      <c r="H500" s="67">
        <v>27069.08</v>
      </c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  <c r="AB500" s="48"/>
    </row>
    <row r="501" spans="1:28" ht="12.75" customHeight="1">
      <c r="A501" s="71">
        <v>240.5</v>
      </c>
      <c r="B501" s="72">
        <v>7833.46</v>
      </c>
      <c r="C501" s="73">
        <v>12580.75</v>
      </c>
      <c r="D501" s="73">
        <v>15844.92</v>
      </c>
      <c r="E501" s="73">
        <v>21448</v>
      </c>
      <c r="F501" s="73">
        <v>14810.68</v>
      </c>
      <c r="G501" s="73">
        <v>15694.06</v>
      </c>
      <c r="H501" s="74">
        <v>27123.14</v>
      </c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</row>
    <row r="502" spans="1:28" ht="12.75" customHeight="1">
      <c r="A502" s="65">
        <v>241</v>
      </c>
      <c r="B502" s="75">
        <v>7848.88</v>
      </c>
      <c r="C502" s="66">
        <v>12605.57</v>
      </c>
      <c r="D502" s="66">
        <v>15877.97</v>
      </c>
      <c r="E502" s="66">
        <v>21493.39</v>
      </c>
      <c r="F502" s="66">
        <v>14839.95</v>
      </c>
      <c r="G502" s="66">
        <v>15725.28</v>
      </c>
      <c r="H502" s="67">
        <v>27177.200000000001</v>
      </c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  <c r="AB502" s="48"/>
    </row>
    <row r="503" spans="1:28" ht="12.75" customHeight="1">
      <c r="A503" s="71">
        <v>241.5</v>
      </c>
      <c r="B503" s="72">
        <v>7864.29</v>
      </c>
      <c r="C503" s="73">
        <v>12630.4</v>
      </c>
      <c r="D503" s="73">
        <v>15911.01</v>
      </c>
      <c r="E503" s="73">
        <v>21538.78</v>
      </c>
      <c r="F503" s="73">
        <v>14869.22</v>
      </c>
      <c r="G503" s="73">
        <v>15756.51</v>
      </c>
      <c r="H503" s="74">
        <v>27231.26</v>
      </c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</row>
    <row r="504" spans="1:28" ht="12.75" customHeight="1">
      <c r="A504" s="65">
        <v>242</v>
      </c>
      <c r="B504" s="75">
        <v>7879.71</v>
      </c>
      <c r="C504" s="66">
        <v>12655.22</v>
      </c>
      <c r="D504" s="66">
        <v>15944.06</v>
      </c>
      <c r="E504" s="66">
        <v>21584.16</v>
      </c>
      <c r="F504" s="66">
        <v>14898.5</v>
      </c>
      <c r="G504" s="66">
        <v>15787.73</v>
      </c>
      <c r="H504" s="67">
        <v>27285.32</v>
      </c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  <c r="AB504" s="48"/>
    </row>
    <row r="505" spans="1:28" ht="12.75" customHeight="1">
      <c r="A505" s="71">
        <v>242.5</v>
      </c>
      <c r="B505" s="72">
        <v>7895.12</v>
      </c>
      <c r="C505" s="73">
        <v>12680.05</v>
      </c>
      <c r="D505" s="73">
        <v>15977.11</v>
      </c>
      <c r="E505" s="73">
        <v>21629.55</v>
      </c>
      <c r="F505" s="73">
        <v>14927.77</v>
      </c>
      <c r="G505" s="73">
        <v>15818.95</v>
      </c>
      <c r="H505" s="74">
        <v>27339.37</v>
      </c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</row>
    <row r="506" spans="1:28" ht="12.75" customHeight="1">
      <c r="A506" s="65">
        <v>243</v>
      </c>
      <c r="B506" s="75">
        <v>7910.54</v>
      </c>
      <c r="C506" s="66">
        <v>12704.88</v>
      </c>
      <c r="D506" s="66">
        <v>16010.15</v>
      </c>
      <c r="E506" s="66">
        <v>21674.94</v>
      </c>
      <c r="F506" s="66">
        <v>14957.05</v>
      </c>
      <c r="G506" s="66">
        <v>15850.17</v>
      </c>
      <c r="H506" s="67">
        <v>27393.43</v>
      </c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  <c r="AB506" s="48"/>
    </row>
    <row r="507" spans="1:28" ht="12.75" customHeight="1">
      <c r="A507" s="71">
        <v>243.5</v>
      </c>
      <c r="B507" s="72">
        <v>7925.96</v>
      </c>
      <c r="C507" s="73">
        <v>12729.7</v>
      </c>
      <c r="D507" s="73">
        <v>16043.2</v>
      </c>
      <c r="E507" s="73">
        <v>21720.32</v>
      </c>
      <c r="F507" s="73">
        <v>14986.32</v>
      </c>
      <c r="G507" s="73">
        <v>15881.39</v>
      </c>
      <c r="H507" s="74">
        <v>27447.49</v>
      </c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</row>
    <row r="508" spans="1:28" ht="12.75" customHeight="1">
      <c r="A508" s="65">
        <v>244</v>
      </c>
      <c r="B508" s="75">
        <v>7941.37</v>
      </c>
      <c r="C508" s="66">
        <v>12754.53</v>
      </c>
      <c r="D508" s="66">
        <v>16076.24</v>
      </c>
      <c r="E508" s="66">
        <v>21765.71</v>
      </c>
      <c r="F508" s="66">
        <v>15015.59</v>
      </c>
      <c r="G508" s="66">
        <v>15912.61</v>
      </c>
      <c r="H508" s="67">
        <v>27501.55</v>
      </c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  <c r="AB508" s="48"/>
    </row>
    <row r="509" spans="1:28" ht="12.75" customHeight="1">
      <c r="A509" s="71">
        <v>244.5</v>
      </c>
      <c r="B509" s="72">
        <v>7956.79</v>
      </c>
      <c r="C509" s="73">
        <v>12779.35</v>
      </c>
      <c r="D509" s="73">
        <v>16109.29</v>
      </c>
      <c r="E509" s="73">
        <v>21811.1</v>
      </c>
      <c r="F509" s="73">
        <v>15044.87</v>
      </c>
      <c r="G509" s="73">
        <v>15943.83</v>
      </c>
      <c r="H509" s="74">
        <v>27555.61</v>
      </c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</row>
    <row r="510" spans="1:28" ht="12.75" customHeight="1">
      <c r="A510" s="65">
        <v>245</v>
      </c>
      <c r="B510" s="75">
        <v>7972.2</v>
      </c>
      <c r="C510" s="66">
        <v>12804.18</v>
      </c>
      <c r="D510" s="66">
        <v>16142.34</v>
      </c>
      <c r="E510" s="66">
        <v>21856.49</v>
      </c>
      <c r="F510" s="66">
        <v>15074.14</v>
      </c>
      <c r="G510" s="66">
        <v>15975.06</v>
      </c>
      <c r="H510" s="67">
        <v>27609.67</v>
      </c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  <c r="AB510" s="48"/>
    </row>
    <row r="511" spans="1:28" ht="12.75" customHeight="1">
      <c r="A511" s="71">
        <v>245.5</v>
      </c>
      <c r="B511" s="72">
        <v>7987.62</v>
      </c>
      <c r="C511" s="73">
        <v>12829</v>
      </c>
      <c r="D511" s="73">
        <v>16175.38</v>
      </c>
      <c r="E511" s="73">
        <v>21901.87</v>
      </c>
      <c r="F511" s="73">
        <v>15103.42</v>
      </c>
      <c r="G511" s="73">
        <v>16006.28</v>
      </c>
      <c r="H511" s="74">
        <v>27663.73</v>
      </c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</row>
    <row r="512" spans="1:28" ht="12.75" customHeight="1">
      <c r="A512" s="65">
        <v>246</v>
      </c>
      <c r="B512" s="75">
        <v>8003.04</v>
      </c>
      <c r="C512" s="66">
        <v>12853.83</v>
      </c>
      <c r="D512" s="66">
        <v>16208.43</v>
      </c>
      <c r="E512" s="66">
        <v>21947.26</v>
      </c>
      <c r="F512" s="66">
        <v>15132.69</v>
      </c>
      <c r="G512" s="66">
        <v>16037.5</v>
      </c>
      <c r="H512" s="67">
        <v>27717.78</v>
      </c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  <c r="AB512" s="48"/>
    </row>
    <row r="513" spans="1:28" ht="12.75" customHeight="1">
      <c r="A513" s="71">
        <v>246.5</v>
      </c>
      <c r="B513" s="72">
        <v>8018.45</v>
      </c>
      <c r="C513" s="73">
        <v>12878.65</v>
      </c>
      <c r="D513" s="73">
        <v>16241.47</v>
      </c>
      <c r="E513" s="73">
        <v>21992.65</v>
      </c>
      <c r="F513" s="73">
        <v>15161.96</v>
      </c>
      <c r="G513" s="73">
        <v>16068.72</v>
      </c>
      <c r="H513" s="74">
        <v>27771.84</v>
      </c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</row>
    <row r="514" spans="1:28" ht="12.75" customHeight="1">
      <c r="A514" s="65">
        <v>247</v>
      </c>
      <c r="B514" s="75">
        <v>8033.87</v>
      </c>
      <c r="C514" s="66">
        <v>12903.48</v>
      </c>
      <c r="D514" s="66">
        <v>16274.52</v>
      </c>
      <c r="E514" s="66">
        <v>22038.03</v>
      </c>
      <c r="F514" s="66">
        <v>15191.24</v>
      </c>
      <c r="G514" s="66">
        <v>16099.94</v>
      </c>
      <c r="H514" s="67">
        <v>27825.9</v>
      </c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  <c r="AB514" s="48"/>
    </row>
    <row r="515" spans="1:28" ht="12.75" customHeight="1">
      <c r="A515" s="71">
        <v>247.5</v>
      </c>
      <c r="B515" s="72">
        <v>8049.28</v>
      </c>
      <c r="C515" s="73">
        <v>12928.3</v>
      </c>
      <c r="D515" s="73">
        <v>16307.57</v>
      </c>
      <c r="E515" s="73">
        <v>22083.42</v>
      </c>
      <c r="F515" s="73">
        <v>15220.51</v>
      </c>
      <c r="G515" s="73">
        <v>16131.16</v>
      </c>
      <c r="H515" s="74">
        <v>27879.96</v>
      </c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48"/>
    </row>
    <row r="516" spans="1:28" ht="12.75" customHeight="1">
      <c r="A516" s="65">
        <v>248</v>
      </c>
      <c r="B516" s="75">
        <v>8064.7</v>
      </c>
      <c r="C516" s="66">
        <v>12953.13</v>
      </c>
      <c r="D516" s="66">
        <v>16340.61</v>
      </c>
      <c r="E516" s="66">
        <v>22128.81</v>
      </c>
      <c r="F516" s="66">
        <v>15249.79</v>
      </c>
      <c r="G516" s="66">
        <v>16162.38</v>
      </c>
      <c r="H516" s="67">
        <v>27934.02</v>
      </c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  <c r="AB516" s="48"/>
    </row>
    <row r="517" spans="1:28" ht="12.75" customHeight="1">
      <c r="A517" s="71">
        <v>248.5</v>
      </c>
      <c r="B517" s="72">
        <v>8080.12</v>
      </c>
      <c r="C517" s="73">
        <v>12977.96</v>
      </c>
      <c r="D517" s="73">
        <v>16373.66</v>
      </c>
      <c r="E517" s="73">
        <v>22174.19</v>
      </c>
      <c r="F517" s="73">
        <v>15279.06</v>
      </c>
      <c r="G517" s="73">
        <v>16193.61</v>
      </c>
      <c r="H517" s="74">
        <v>27988.080000000002</v>
      </c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  <c r="AB517" s="48"/>
    </row>
    <row r="518" spans="1:28" ht="12.75" customHeight="1">
      <c r="A518" s="65">
        <v>249</v>
      </c>
      <c r="B518" s="75">
        <v>8095.53</v>
      </c>
      <c r="C518" s="66">
        <v>13002.78</v>
      </c>
      <c r="D518" s="66">
        <v>16406.7</v>
      </c>
      <c r="E518" s="66">
        <v>22219.58</v>
      </c>
      <c r="F518" s="66">
        <v>15308.33</v>
      </c>
      <c r="G518" s="66">
        <v>16224.83</v>
      </c>
      <c r="H518" s="67">
        <v>28042.13</v>
      </c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  <c r="AB518" s="48"/>
    </row>
    <row r="519" spans="1:28" ht="12.75" customHeight="1">
      <c r="A519" s="71">
        <v>249.5</v>
      </c>
      <c r="B519" s="72">
        <v>8110.95</v>
      </c>
      <c r="C519" s="73">
        <v>13027.61</v>
      </c>
      <c r="D519" s="73">
        <v>16439.75</v>
      </c>
      <c r="E519" s="73">
        <v>22264.97</v>
      </c>
      <c r="F519" s="73">
        <v>15337.61</v>
      </c>
      <c r="G519" s="73">
        <v>16256.05</v>
      </c>
      <c r="H519" s="74">
        <v>28096.19</v>
      </c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  <c r="AB519" s="48"/>
    </row>
    <row r="520" spans="1:28" ht="12.75" customHeight="1">
      <c r="A520" s="65">
        <v>250</v>
      </c>
      <c r="B520" s="75">
        <v>8126.36</v>
      </c>
      <c r="C520" s="66">
        <v>13052.43</v>
      </c>
      <c r="D520" s="66">
        <v>16472.8</v>
      </c>
      <c r="E520" s="66">
        <v>22310.36</v>
      </c>
      <c r="F520" s="66">
        <v>15366.88</v>
      </c>
      <c r="G520" s="66">
        <v>16287.27</v>
      </c>
      <c r="H520" s="67">
        <v>28150.25</v>
      </c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  <c r="AB520" s="48"/>
    </row>
    <row r="521" spans="1:28" ht="12.75" customHeight="1">
      <c r="A521" s="76"/>
      <c r="B521" s="76"/>
      <c r="C521" s="77"/>
      <c r="D521" s="76"/>
      <c r="E521" s="76"/>
      <c r="F521" s="76"/>
      <c r="G521" s="76"/>
      <c r="H521" s="76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</row>
    <row r="522" spans="1:28" ht="12.75" customHeight="1">
      <c r="A522" s="78" t="s">
        <v>513</v>
      </c>
      <c r="B522" s="79">
        <v>15.42</v>
      </c>
      <c r="C522" s="80">
        <v>24.83</v>
      </c>
      <c r="D522" s="80">
        <v>33.049999999999997</v>
      </c>
      <c r="E522" s="80">
        <v>45.39</v>
      </c>
      <c r="F522" s="80">
        <v>29.27</v>
      </c>
      <c r="G522" s="80">
        <v>31.22</v>
      </c>
      <c r="H522" s="81">
        <v>54.06</v>
      </c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</row>
    <row r="523" spans="1:28" ht="12.75" customHeight="1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</row>
    <row r="524" spans="1:28" ht="12.75" customHeight="1">
      <c r="A524" s="9"/>
      <c r="B524" s="9"/>
      <c r="C524" s="9"/>
      <c r="D524" s="9"/>
      <c r="E524" s="9"/>
      <c r="F524" s="9"/>
      <c r="G524" s="9"/>
      <c r="H524" s="9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</row>
    <row r="525" spans="1:28" ht="12.75" customHeight="1">
      <c r="A525" s="1"/>
      <c r="B525" s="1"/>
      <c r="C525" s="1"/>
      <c r="D525" s="1"/>
      <c r="E525" s="1"/>
      <c r="F525" s="1"/>
      <c r="G525" s="1"/>
      <c r="H525" s="1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</row>
    <row r="526" spans="1:28" ht="12.75" customHeight="1">
      <c r="A526" s="82" t="s">
        <v>514</v>
      </c>
      <c r="B526" s="1"/>
      <c r="C526" s="1"/>
      <c r="D526" s="1"/>
      <c r="E526" s="83"/>
      <c r="F526" s="1"/>
      <c r="G526" s="1"/>
      <c r="H526" s="1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</row>
    <row r="527" spans="1:28" ht="12.75" customHeight="1">
      <c r="A527" s="82" t="s">
        <v>515</v>
      </c>
      <c r="B527" s="1"/>
      <c r="C527" s="1"/>
      <c r="D527" s="1"/>
      <c r="E527" s="83"/>
      <c r="F527" s="1"/>
      <c r="G527" s="1"/>
      <c r="H527" s="1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</row>
    <row r="528" spans="1:28" ht="12.75" customHeight="1">
      <c r="A528" s="82" t="s">
        <v>516</v>
      </c>
      <c r="B528" s="84"/>
      <c r="C528" s="84"/>
      <c r="D528" s="84"/>
      <c r="E528" s="83"/>
      <c r="F528" s="1"/>
      <c r="G528" s="1"/>
      <c r="H528" s="1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</row>
    <row r="529" spans="1:28" ht="12.75" customHeight="1">
      <c r="A529" s="82" t="s">
        <v>517</v>
      </c>
      <c r="B529" s="85"/>
      <c r="C529" s="85"/>
      <c r="D529" s="85"/>
      <c r="E529" s="83"/>
      <c r="F529" s="1"/>
      <c r="G529" s="1"/>
      <c r="H529" s="1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</row>
    <row r="530" spans="1:28" ht="12.75" customHeight="1">
      <c r="A530" s="86"/>
      <c r="B530" s="1"/>
      <c r="C530" s="1"/>
      <c r="D530" s="1"/>
      <c r="E530" s="83"/>
      <c r="F530" s="1"/>
      <c r="G530" s="1"/>
      <c r="H530" s="1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</row>
    <row r="531" spans="1:28" ht="12.75" customHeight="1">
      <c r="A531" s="86"/>
      <c r="B531" s="1"/>
      <c r="C531" s="1"/>
      <c r="D531" s="1"/>
      <c r="E531" s="1"/>
      <c r="F531" s="1"/>
      <c r="G531" s="1"/>
      <c r="H531" s="1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</row>
    <row r="532" spans="1:28" ht="12.75" customHeight="1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</row>
    <row r="533" spans="1:28" ht="12.75" customHeight="1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</row>
    <row r="534" spans="1:28" ht="12.75" customHeight="1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</row>
    <row r="535" spans="1:28" ht="12.75" customHeight="1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</row>
    <row r="536" spans="1:28" ht="12.75" customHeight="1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</row>
    <row r="537" spans="1:28" ht="12.75" customHeight="1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</row>
    <row r="538" spans="1:28" ht="12.75" customHeight="1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  <c r="AB538" s="48"/>
    </row>
    <row r="539" spans="1:28" ht="12.75" customHeight="1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  <c r="AB539" s="48"/>
    </row>
    <row r="540" spans="1:28" ht="12.75" customHeight="1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  <c r="AB540" s="48"/>
    </row>
    <row r="541" spans="1:28" ht="12.75" customHeight="1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  <c r="AB541" s="48"/>
    </row>
    <row r="542" spans="1:28" ht="12.75" customHeight="1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  <c r="AB542" s="48"/>
    </row>
    <row r="543" spans="1:28" ht="12.75" customHeight="1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  <c r="AB543" s="48"/>
    </row>
    <row r="544" spans="1:28" ht="12.75" customHeight="1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  <c r="AB544" s="48"/>
    </row>
    <row r="545" spans="1:28" ht="12.75" customHeight="1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  <c r="AB545" s="48"/>
    </row>
    <row r="546" spans="1:28" ht="12.75" customHeight="1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  <c r="AB546" s="48"/>
    </row>
    <row r="547" spans="1:28" ht="12.75" customHeight="1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  <c r="AB547" s="48"/>
    </row>
    <row r="548" spans="1:28" ht="12.75" customHeight="1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  <c r="AB548" s="48"/>
    </row>
    <row r="549" spans="1:28" ht="12.75" customHeight="1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  <c r="AB549" s="48"/>
    </row>
    <row r="550" spans="1:28" ht="12.75" customHeight="1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  <c r="AB550" s="48"/>
    </row>
    <row r="551" spans="1:28" ht="12.75" customHeight="1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  <c r="AB551" s="48"/>
    </row>
    <row r="552" spans="1:28" ht="12.75" customHeight="1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  <c r="AB552" s="48"/>
    </row>
    <row r="553" spans="1:28" ht="12.75" customHeight="1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  <c r="AB553" s="48"/>
    </row>
    <row r="554" spans="1:28" ht="12.75" customHeight="1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  <c r="AB554" s="48"/>
    </row>
    <row r="555" spans="1:28" ht="12.75" customHeight="1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  <c r="AB555" s="48"/>
    </row>
    <row r="556" spans="1:28" ht="12.75" customHeight="1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  <c r="AB556" s="48"/>
    </row>
    <row r="557" spans="1:28" ht="12.75" customHeight="1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  <c r="AB557" s="48"/>
    </row>
    <row r="558" spans="1:28" ht="12.75" customHeight="1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  <c r="AB558" s="48"/>
    </row>
    <row r="559" spans="1:28" ht="12.75" customHeight="1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  <c r="AB559" s="48"/>
    </row>
    <row r="560" spans="1:28" ht="12.75" customHeight="1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  <c r="AB560" s="48"/>
    </row>
    <row r="561" spans="1:28" ht="12.75" customHeight="1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  <c r="AB561" s="48"/>
    </row>
    <row r="562" spans="1:28" ht="12.75" customHeight="1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  <c r="AB562" s="48"/>
    </row>
    <row r="563" spans="1:28" ht="12.75" customHeight="1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  <c r="AB563" s="48"/>
    </row>
    <row r="564" spans="1:28" ht="12.75" customHeight="1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  <c r="AB564" s="48"/>
    </row>
    <row r="565" spans="1:28" ht="12.75" customHeight="1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  <c r="AB565" s="48"/>
    </row>
    <row r="566" spans="1:28" ht="12.75" customHeight="1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  <c r="AB566" s="48"/>
    </row>
    <row r="567" spans="1:28" ht="12.75" customHeight="1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  <c r="AB567" s="48"/>
    </row>
    <row r="568" spans="1:28" ht="12.75" customHeight="1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  <c r="AB568" s="48"/>
    </row>
    <row r="569" spans="1:28" ht="12.75" customHeight="1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  <c r="AB569" s="48"/>
    </row>
    <row r="570" spans="1:28" ht="12.75" customHeight="1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  <c r="AB570" s="48"/>
    </row>
    <row r="571" spans="1:28" ht="12.75" customHeight="1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  <c r="AB571" s="48"/>
    </row>
    <row r="572" spans="1:28" ht="12.75" customHeight="1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  <c r="AB572" s="48"/>
    </row>
    <row r="573" spans="1:28" ht="12.75" customHeight="1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  <c r="AB573" s="48"/>
    </row>
    <row r="574" spans="1:28" ht="12.75" customHeight="1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  <c r="AB574" s="48"/>
    </row>
    <row r="575" spans="1:28" ht="12.75" customHeight="1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  <c r="AB575" s="48"/>
    </row>
    <row r="576" spans="1:28" ht="12.75" customHeight="1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  <c r="AB576" s="48"/>
    </row>
    <row r="577" spans="1:28" ht="12.75" customHeight="1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  <c r="AB577" s="48"/>
    </row>
    <row r="578" spans="1:28" ht="12.75" customHeight="1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  <c r="AB578" s="48"/>
    </row>
    <row r="579" spans="1:28" ht="12.75" customHeight="1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  <c r="AB579" s="48"/>
    </row>
    <row r="580" spans="1:28" ht="12.75" customHeight="1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  <c r="AB580" s="48"/>
    </row>
    <row r="581" spans="1:28" ht="12.75" customHeight="1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  <c r="AB581" s="48"/>
    </row>
    <row r="582" spans="1:28" ht="12.75" customHeight="1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  <c r="AB582" s="48"/>
    </row>
    <row r="583" spans="1:28" ht="12.75" customHeight="1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  <c r="AB583" s="48"/>
    </row>
    <row r="584" spans="1:28" ht="12.75" customHeight="1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  <c r="AB584" s="48"/>
    </row>
    <row r="585" spans="1:28" ht="12.75" customHeight="1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  <c r="AB585" s="48"/>
    </row>
    <row r="586" spans="1:28" ht="12.75" customHeight="1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  <c r="AB586" s="48"/>
    </row>
    <row r="587" spans="1:28" ht="12.75" customHeight="1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  <c r="AB587" s="48"/>
    </row>
    <row r="588" spans="1:28" ht="12.75" customHeight="1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  <c r="AB588" s="48"/>
    </row>
    <row r="589" spans="1:28" ht="12.75" customHeight="1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  <c r="AB589" s="48"/>
    </row>
    <row r="590" spans="1:28" ht="12.75" customHeight="1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  <c r="AB590" s="48"/>
    </row>
    <row r="591" spans="1:28" ht="12.75" customHeight="1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  <c r="AB591" s="48"/>
    </row>
    <row r="592" spans="1:28" ht="12.75" customHeight="1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  <c r="AB592" s="48"/>
    </row>
    <row r="593" spans="1:28" ht="12.75" customHeight="1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  <c r="AB593" s="48"/>
    </row>
    <row r="594" spans="1:28" ht="12.75" customHeight="1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  <c r="AB594" s="48"/>
    </row>
    <row r="595" spans="1:28" ht="12.75" customHeight="1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  <c r="AB595" s="48"/>
    </row>
    <row r="596" spans="1:28" ht="12.75" customHeight="1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  <c r="AB596" s="48"/>
    </row>
    <row r="597" spans="1:28" ht="12.75" customHeight="1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  <c r="AB597" s="48"/>
    </row>
    <row r="598" spans="1:28" ht="12.75" customHeight="1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  <c r="AB598" s="48"/>
    </row>
    <row r="599" spans="1:28" ht="12.75" customHeight="1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  <c r="AB599" s="48"/>
    </row>
    <row r="600" spans="1:28" ht="12.75" customHeight="1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  <c r="AB600" s="48"/>
    </row>
    <row r="601" spans="1:28" ht="12.75" customHeight="1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  <c r="AB601" s="48"/>
    </row>
    <row r="602" spans="1:28" ht="12.75" customHeight="1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  <c r="AB602" s="48"/>
    </row>
    <row r="603" spans="1:28" ht="12.75" customHeight="1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  <c r="AB603" s="48"/>
    </row>
    <row r="604" spans="1:28" ht="12.75" customHeight="1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  <c r="AB604" s="48"/>
    </row>
    <row r="605" spans="1:28" ht="12.75" customHeight="1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  <c r="AB605" s="48"/>
    </row>
    <row r="606" spans="1:28" ht="12.75" customHeight="1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  <c r="AB606" s="48"/>
    </row>
    <row r="607" spans="1:28" ht="12.75" customHeight="1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  <c r="AB607" s="48"/>
    </row>
    <row r="608" spans="1:28" ht="12.75" customHeight="1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  <c r="AB608" s="48"/>
    </row>
    <row r="609" spans="1:28" ht="12.75" customHeight="1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  <c r="AB609" s="48"/>
    </row>
    <row r="610" spans="1:28" ht="12.75" customHeight="1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  <c r="AB610" s="48"/>
    </row>
    <row r="611" spans="1:28" ht="12.75" customHeight="1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  <c r="AB611" s="48"/>
    </row>
    <row r="612" spans="1:28" ht="12.75" customHeight="1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  <c r="AB612" s="48"/>
    </row>
    <row r="613" spans="1:28" ht="12.75" customHeight="1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  <c r="AB613" s="48"/>
    </row>
    <row r="614" spans="1:28" ht="12.75" customHeight="1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  <c r="AB614" s="48"/>
    </row>
    <row r="615" spans="1:28" ht="12.75" customHeight="1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  <c r="AB615" s="48"/>
    </row>
    <row r="616" spans="1:28" ht="12.75" customHeight="1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  <c r="AB616" s="48"/>
    </row>
    <row r="617" spans="1:28" ht="12.75" customHeight="1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  <c r="AB617" s="48"/>
    </row>
    <row r="618" spans="1:28" ht="12.75" customHeight="1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  <c r="AB618" s="48"/>
    </row>
    <row r="619" spans="1:28" ht="12.75" customHeight="1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  <c r="AB619" s="48"/>
    </row>
    <row r="620" spans="1:28" ht="12.75" customHeight="1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  <c r="AB620" s="48"/>
    </row>
    <row r="621" spans="1:28" ht="12.75" customHeight="1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  <c r="AB621" s="48"/>
    </row>
    <row r="622" spans="1:28" ht="12.75" customHeight="1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  <c r="AB622" s="48"/>
    </row>
    <row r="623" spans="1:28" ht="12.75" customHeight="1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  <c r="AB623" s="48"/>
    </row>
    <row r="624" spans="1:28" ht="12.75" customHeight="1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  <c r="AB624" s="48"/>
    </row>
    <row r="625" spans="1:28" ht="12.75" customHeight="1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  <c r="AB625" s="48"/>
    </row>
    <row r="626" spans="1:28" ht="12.75" customHeight="1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  <c r="AB626" s="48"/>
    </row>
    <row r="627" spans="1:28" ht="12.75" customHeight="1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  <c r="AB627" s="48"/>
    </row>
    <row r="628" spans="1:28" ht="12.75" customHeight="1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  <c r="AB628" s="48"/>
    </row>
    <row r="629" spans="1:28" ht="12.75" customHeight="1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  <c r="AB629" s="48"/>
    </row>
    <row r="630" spans="1:28" ht="12.75" customHeight="1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  <c r="AB630" s="48"/>
    </row>
    <row r="631" spans="1:28" ht="12.75" customHeight="1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  <c r="AB631" s="48"/>
    </row>
    <row r="632" spans="1:28" ht="12.75" customHeight="1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  <c r="AB632" s="48"/>
    </row>
    <row r="633" spans="1:28" ht="12.75" customHeight="1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  <c r="AB633" s="48"/>
    </row>
    <row r="634" spans="1:28" ht="12.75" customHeight="1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  <c r="AB634" s="48"/>
    </row>
    <row r="635" spans="1:28" ht="12.75" customHeight="1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  <c r="AB635" s="48"/>
    </row>
    <row r="636" spans="1:28" ht="12.75" customHeight="1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  <c r="AB636" s="48"/>
    </row>
    <row r="637" spans="1:28" ht="12.75" customHeight="1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  <c r="AB637" s="48"/>
    </row>
    <row r="638" spans="1:28" ht="12.75" customHeight="1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  <c r="AB638" s="48"/>
    </row>
    <row r="639" spans="1:28" ht="12.75" customHeight="1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  <c r="AB639" s="48"/>
    </row>
    <row r="640" spans="1:28" ht="12.75" customHeight="1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  <c r="AB640" s="48"/>
    </row>
    <row r="641" spans="1:28" ht="12.75" customHeight="1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  <c r="AB641" s="48"/>
    </row>
    <row r="642" spans="1:28" ht="12.75" customHeight="1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  <c r="AB642" s="48"/>
    </row>
    <row r="643" spans="1:28" ht="12.75" customHeight="1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  <c r="AB643" s="48"/>
    </row>
    <row r="644" spans="1:28" ht="12.75" customHeight="1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  <c r="AB644" s="48"/>
    </row>
    <row r="645" spans="1:28" ht="12.75" customHeight="1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  <c r="AB645" s="48"/>
    </row>
    <row r="646" spans="1:28" ht="12.75" customHeight="1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  <c r="AB646" s="48"/>
    </row>
    <row r="647" spans="1:28" ht="12.75" customHeight="1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  <c r="AB647" s="48"/>
    </row>
    <row r="648" spans="1:28" ht="12.75" customHeight="1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  <c r="AB648" s="48"/>
    </row>
    <row r="649" spans="1:28" ht="12.75" customHeight="1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  <c r="AB649" s="48"/>
    </row>
    <row r="650" spans="1:28" ht="12.75" customHeight="1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  <c r="AB650" s="48"/>
    </row>
    <row r="651" spans="1:28" ht="12.75" customHeight="1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  <c r="AB651" s="48"/>
    </row>
    <row r="652" spans="1:28" ht="12.75" customHeight="1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  <c r="AB652" s="48"/>
    </row>
    <row r="653" spans="1:28" ht="12.75" customHeight="1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  <c r="AB653" s="48"/>
    </row>
    <row r="654" spans="1:28" ht="12.75" customHeight="1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  <c r="AB654" s="48"/>
    </row>
    <row r="655" spans="1:28" ht="12.75" customHeight="1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  <c r="AB655" s="48"/>
    </row>
    <row r="656" spans="1:28" ht="12.75" customHeight="1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  <c r="AB656" s="48"/>
    </row>
    <row r="657" spans="1:28" ht="12.75" customHeight="1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  <c r="AB657" s="48"/>
    </row>
    <row r="658" spans="1:28" ht="12.75" customHeight="1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  <c r="AB658" s="48"/>
    </row>
    <row r="659" spans="1:28" ht="12.75" customHeight="1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  <c r="AB659" s="48"/>
    </row>
    <row r="660" spans="1:28" ht="12.75" customHeight="1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  <c r="AB660" s="48"/>
    </row>
    <row r="661" spans="1:28" ht="12.75" customHeight="1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  <c r="AB661" s="48"/>
    </row>
    <row r="662" spans="1:28" ht="12.75" customHeight="1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  <c r="AB662" s="48"/>
    </row>
    <row r="663" spans="1:28" ht="12.75" customHeight="1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  <c r="AB663" s="48"/>
    </row>
    <row r="664" spans="1:28" ht="12.75" customHeight="1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  <c r="AB664" s="48"/>
    </row>
    <row r="665" spans="1:28" ht="12.75" customHeight="1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  <c r="AB665" s="48"/>
    </row>
    <row r="666" spans="1:28" ht="12.75" customHeight="1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  <c r="AB666" s="48"/>
    </row>
    <row r="667" spans="1:28" ht="12.75" customHeight="1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  <c r="AB667" s="48"/>
    </row>
    <row r="668" spans="1:28" ht="12.75" customHeight="1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  <c r="AB668" s="48"/>
    </row>
    <row r="669" spans="1:28" ht="12.75" customHeight="1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  <c r="AB669" s="48"/>
    </row>
    <row r="670" spans="1:28" ht="12.75" customHeight="1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  <c r="AB670" s="48"/>
    </row>
    <row r="671" spans="1:28" ht="12.75" customHeight="1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  <c r="AB671" s="48"/>
    </row>
    <row r="672" spans="1:28" ht="12.75" customHeight="1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  <c r="AB672" s="48"/>
    </row>
    <row r="673" spans="1:28" ht="12.75" customHeight="1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  <c r="AB673" s="48"/>
    </row>
    <row r="674" spans="1:28" ht="12.75" customHeight="1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  <c r="AB674" s="48"/>
    </row>
    <row r="675" spans="1:28" ht="12.75" customHeight="1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  <c r="AB675" s="48"/>
    </row>
    <row r="676" spans="1:28" ht="12.75" customHeight="1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  <c r="AB676" s="48"/>
    </row>
    <row r="677" spans="1:28" ht="12.75" customHeight="1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  <c r="AB677" s="48"/>
    </row>
    <row r="678" spans="1:28" ht="12.75" customHeight="1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  <c r="AB678" s="48"/>
    </row>
    <row r="679" spans="1:28" ht="12.75" customHeight="1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  <c r="AB679" s="48"/>
    </row>
    <row r="680" spans="1:28" ht="12.75" customHeight="1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  <c r="AB680" s="48"/>
    </row>
    <row r="681" spans="1:28" ht="12.75" customHeight="1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  <c r="AB681" s="48"/>
    </row>
    <row r="682" spans="1:28" ht="12.75" customHeight="1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  <c r="AB682" s="48"/>
    </row>
    <row r="683" spans="1:28" ht="12.75" customHeight="1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  <c r="AB683" s="48"/>
    </row>
    <row r="684" spans="1:28" ht="12.75" customHeight="1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  <c r="AB684" s="48"/>
    </row>
    <row r="685" spans="1:28" ht="12.75" customHeight="1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  <c r="AB685" s="48"/>
    </row>
    <row r="686" spans="1:28" ht="12.75" customHeight="1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  <c r="AB686" s="48"/>
    </row>
    <row r="687" spans="1:28" ht="12.75" customHeight="1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  <c r="AB687" s="48"/>
    </row>
    <row r="688" spans="1:28" ht="12.75" customHeight="1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  <c r="AB688" s="48"/>
    </row>
    <row r="689" spans="1:28" ht="12.75" customHeight="1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  <c r="AB689" s="48"/>
    </row>
    <row r="690" spans="1:28" ht="12.75" customHeight="1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  <c r="AB690" s="48"/>
    </row>
    <row r="691" spans="1:28" ht="12.75" customHeight="1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  <c r="AB691" s="48"/>
    </row>
    <row r="692" spans="1:28" ht="12.75" customHeight="1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  <c r="AB692" s="48"/>
    </row>
    <row r="693" spans="1:28" ht="12.75" customHeight="1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  <c r="AB693" s="48"/>
    </row>
    <row r="694" spans="1:28" ht="12.75" customHeight="1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  <c r="AB694" s="48"/>
    </row>
    <row r="695" spans="1:28" ht="12.75" customHeight="1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  <c r="AB695" s="48"/>
    </row>
    <row r="696" spans="1:28" ht="12.75" customHeight="1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  <c r="AB696" s="48"/>
    </row>
    <row r="697" spans="1:28" ht="12.75" customHeight="1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  <c r="AB697" s="48"/>
    </row>
    <row r="698" spans="1:28" ht="12.75" customHeight="1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  <c r="AB698" s="48"/>
    </row>
    <row r="699" spans="1:28" ht="12.75" customHeight="1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  <c r="AB699" s="48"/>
    </row>
    <row r="700" spans="1:28" ht="12.75" customHeight="1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  <c r="AB700" s="48"/>
    </row>
    <row r="701" spans="1:28" ht="12.75" customHeight="1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  <c r="AB701" s="48"/>
    </row>
    <row r="702" spans="1:28" ht="12.75" customHeight="1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  <c r="AB702" s="48"/>
    </row>
    <row r="703" spans="1:28" ht="12.75" customHeight="1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</row>
    <row r="704" spans="1:28" ht="12.75" customHeight="1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  <c r="AB704" s="48"/>
    </row>
    <row r="705" spans="1:28" ht="12.75" customHeight="1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  <c r="AB705" s="48"/>
    </row>
    <row r="706" spans="1:28" ht="12.75" customHeight="1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  <c r="AB706" s="48"/>
    </row>
    <row r="707" spans="1:28" ht="12.75" customHeight="1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  <c r="AB707" s="48"/>
    </row>
    <row r="708" spans="1:28" ht="12.75" customHeight="1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  <c r="AB708" s="48"/>
    </row>
    <row r="709" spans="1:28" ht="12.75" customHeight="1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  <c r="AB709" s="48"/>
    </row>
    <row r="710" spans="1:28" ht="12.75" customHeight="1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  <c r="AB710" s="48"/>
    </row>
    <row r="711" spans="1:28" ht="12.75" customHeight="1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  <c r="AB711" s="48"/>
    </row>
    <row r="712" spans="1:28" ht="12.75" customHeight="1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  <c r="AB712" s="48"/>
    </row>
    <row r="713" spans="1:28" ht="12.75" customHeight="1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  <c r="AB713" s="48"/>
    </row>
    <row r="714" spans="1:28" ht="12.75" customHeight="1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  <c r="AB714" s="48"/>
    </row>
    <row r="715" spans="1:28" ht="12.75" customHeight="1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  <c r="AB715" s="48"/>
    </row>
    <row r="716" spans="1:28" ht="12.75" customHeight="1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  <c r="AB716" s="48"/>
    </row>
    <row r="717" spans="1:28" ht="12.75" customHeight="1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  <c r="AB717" s="48"/>
    </row>
    <row r="718" spans="1:28" ht="12.75" customHeight="1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  <c r="AB718" s="48"/>
    </row>
    <row r="719" spans="1:28" ht="12.75" customHeight="1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  <c r="AB719" s="48"/>
    </row>
    <row r="720" spans="1:28" ht="12.75" customHeight="1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  <c r="AB720" s="48"/>
    </row>
    <row r="721" spans="1:28" ht="12.75" customHeight="1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  <c r="AB721" s="48"/>
    </row>
    <row r="722" spans="1:28" ht="12.75" customHeight="1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  <c r="AB722" s="48"/>
    </row>
    <row r="723" spans="1:28" ht="12.75" customHeight="1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  <c r="AB723" s="48"/>
    </row>
    <row r="724" spans="1:28" ht="12.75" customHeight="1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  <c r="AB724" s="48"/>
    </row>
    <row r="725" spans="1:28" ht="12.75" customHeight="1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  <c r="AB725" s="48"/>
    </row>
    <row r="726" spans="1:28" ht="12.75" customHeight="1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  <c r="AB726" s="48"/>
    </row>
    <row r="727" spans="1:28" ht="12.75" customHeight="1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  <c r="AB727" s="48"/>
    </row>
    <row r="728" spans="1:28" ht="12.75" customHeight="1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  <c r="AB728" s="48"/>
    </row>
    <row r="729" spans="1:28" ht="12.75" customHeight="1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  <c r="AB729" s="48"/>
    </row>
    <row r="730" spans="1:28" ht="12.75" customHeight="1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  <c r="AB730" s="48"/>
    </row>
    <row r="731" spans="1:28" ht="12.75" customHeight="1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  <c r="AB731" s="48"/>
    </row>
    <row r="732" spans="1:28" ht="12.75" customHeight="1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  <c r="AB732" s="48"/>
    </row>
    <row r="733" spans="1:28" ht="12.75" customHeight="1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  <c r="AB733" s="48"/>
    </row>
    <row r="734" spans="1:28" ht="12.75" customHeight="1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  <c r="AB734" s="48"/>
    </row>
    <row r="735" spans="1:28" ht="12.75" customHeight="1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  <c r="AB735" s="48"/>
    </row>
    <row r="736" spans="1:28" ht="12.75" customHeight="1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  <c r="AB736" s="48"/>
    </row>
    <row r="737" spans="1:28" ht="12.75" customHeight="1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  <c r="AB737" s="48"/>
    </row>
    <row r="738" spans="1:28" ht="12.75" customHeight="1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  <c r="AB738" s="48"/>
    </row>
    <row r="739" spans="1:28" ht="12.75" customHeight="1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  <c r="AB739" s="48"/>
    </row>
    <row r="740" spans="1:28" ht="12.75" customHeight="1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  <c r="AB740" s="48"/>
    </row>
    <row r="741" spans="1:28" ht="12.75" customHeight="1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  <c r="AB741" s="48"/>
    </row>
    <row r="742" spans="1:28" ht="12.75" customHeight="1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  <c r="AB742" s="48"/>
    </row>
    <row r="743" spans="1:28" ht="12.75" customHeight="1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  <c r="AB743" s="48"/>
    </row>
    <row r="744" spans="1:28" ht="12.75" customHeight="1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  <c r="AB744" s="48"/>
    </row>
    <row r="745" spans="1:28" ht="12.75" customHeight="1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  <c r="AB745" s="48"/>
    </row>
    <row r="746" spans="1:28" ht="12.75" customHeight="1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  <c r="AB746" s="48"/>
    </row>
    <row r="747" spans="1:28" ht="12.75" customHeight="1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  <c r="AB747" s="48"/>
    </row>
    <row r="748" spans="1:28" ht="12.75" customHeight="1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  <c r="AB748" s="48"/>
    </row>
    <row r="749" spans="1:28" ht="12.75" customHeight="1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  <c r="AB749" s="48"/>
    </row>
    <row r="750" spans="1:28" ht="12.75" customHeight="1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  <c r="AB750" s="48"/>
    </row>
    <row r="751" spans="1:28" ht="12.75" customHeight="1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  <c r="AB751" s="48"/>
    </row>
    <row r="752" spans="1:28" ht="12.75" customHeight="1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  <c r="AB752" s="48"/>
    </row>
    <row r="753" spans="1:28" ht="12.75" customHeight="1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  <c r="AB753" s="48"/>
    </row>
    <row r="754" spans="1:28" ht="12.75" customHeight="1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  <c r="AB754" s="48"/>
    </row>
    <row r="755" spans="1:28" ht="12.75" customHeight="1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  <c r="AB755" s="48"/>
    </row>
    <row r="756" spans="1:28" ht="12.75" customHeight="1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  <c r="AB756" s="48"/>
    </row>
    <row r="757" spans="1:28" ht="12.75" customHeight="1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  <c r="AB757" s="48"/>
    </row>
    <row r="758" spans="1:28" ht="12.75" customHeight="1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  <c r="AB758" s="48"/>
    </row>
    <row r="759" spans="1:28" ht="12.75" customHeight="1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  <c r="AB759" s="48"/>
    </row>
    <row r="760" spans="1:28" ht="12.75" customHeight="1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  <c r="AB760" s="48"/>
    </row>
    <row r="761" spans="1:28" ht="12.75" customHeight="1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  <c r="AB761" s="48"/>
    </row>
    <row r="762" spans="1:28" ht="12.75" customHeight="1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  <c r="AB762" s="48"/>
    </row>
    <row r="763" spans="1:28" ht="12.75" customHeight="1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  <c r="AB763" s="48"/>
    </row>
    <row r="764" spans="1:28" ht="12.75" customHeight="1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  <c r="AB764" s="48"/>
    </row>
    <row r="765" spans="1:28" ht="12.75" customHeight="1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  <c r="AB765" s="48"/>
    </row>
    <row r="766" spans="1:28" ht="12.75" customHeight="1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  <c r="AB766" s="48"/>
    </row>
    <row r="767" spans="1:28" ht="12.75" customHeight="1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  <c r="AB767" s="48"/>
    </row>
    <row r="768" spans="1:28" ht="12.75" customHeight="1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  <c r="AB768" s="48"/>
    </row>
    <row r="769" spans="1:28" ht="12.75" customHeight="1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  <c r="AB769" s="48"/>
    </row>
    <row r="770" spans="1:28" ht="12.75" customHeight="1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  <c r="AB770" s="48"/>
    </row>
    <row r="771" spans="1:28" ht="12.75" customHeight="1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  <c r="AB771" s="48"/>
    </row>
    <row r="772" spans="1:28" ht="12.75" customHeight="1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  <c r="AB772" s="48"/>
    </row>
    <row r="773" spans="1:28" ht="12.75" customHeight="1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  <c r="AB773" s="48"/>
    </row>
    <row r="774" spans="1:28" ht="12.75" customHeight="1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  <c r="AB774" s="48"/>
    </row>
    <row r="775" spans="1:28" ht="12.75" customHeight="1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  <c r="AB775" s="48"/>
    </row>
    <row r="776" spans="1:28" ht="12.75" customHeight="1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  <c r="AB776" s="48"/>
    </row>
    <row r="777" spans="1:28" ht="12.75" customHeight="1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  <c r="AB777" s="48"/>
    </row>
    <row r="778" spans="1:28" ht="12.75" customHeight="1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  <c r="AB778" s="48"/>
    </row>
    <row r="779" spans="1:28" ht="12.75" customHeight="1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  <c r="AB779" s="48"/>
    </row>
    <row r="780" spans="1:28" ht="12.75" customHeight="1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  <c r="AB780" s="48"/>
    </row>
    <row r="781" spans="1:28" ht="12.75" customHeight="1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  <c r="AB781" s="48"/>
    </row>
    <row r="782" spans="1:28" ht="12.75" customHeight="1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  <c r="AB782" s="48"/>
    </row>
    <row r="783" spans="1:28" ht="12.75" customHeight="1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  <c r="AB783" s="48"/>
    </row>
    <row r="784" spans="1:28" ht="12.75" customHeight="1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  <c r="AB784" s="48"/>
    </row>
    <row r="785" spans="1:28" ht="12.75" customHeight="1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  <c r="AB785" s="48"/>
    </row>
    <row r="786" spans="1:28" ht="12.75" customHeight="1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  <c r="AB786" s="48"/>
    </row>
    <row r="787" spans="1:28" ht="12.75" customHeight="1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  <c r="AB787" s="48"/>
    </row>
    <row r="788" spans="1:28" ht="12.75" customHeight="1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  <c r="AB788" s="48"/>
    </row>
    <row r="789" spans="1:28" ht="12.75" customHeight="1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  <c r="AB789" s="48"/>
    </row>
    <row r="790" spans="1:28" ht="12.75" customHeight="1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</row>
    <row r="791" spans="1:28" ht="12.75" customHeight="1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</row>
    <row r="792" spans="1:28" ht="12.75" customHeight="1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</row>
    <row r="793" spans="1:28" ht="12.75" customHeight="1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  <c r="AB793" s="48"/>
    </row>
    <row r="794" spans="1:28" ht="12.75" customHeight="1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  <c r="AB794" s="48"/>
    </row>
    <row r="795" spans="1:28" ht="12.75" customHeight="1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  <c r="AB795" s="48"/>
    </row>
    <row r="796" spans="1:28" ht="12.75" customHeight="1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  <c r="AB796" s="48"/>
    </row>
    <row r="797" spans="1:28" ht="12.75" customHeight="1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  <c r="AB797" s="48"/>
    </row>
    <row r="798" spans="1:28" ht="12.75" customHeight="1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  <c r="AB798" s="48"/>
    </row>
    <row r="799" spans="1:28" ht="12.75" customHeight="1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  <c r="AB799" s="48"/>
    </row>
    <row r="800" spans="1:28" ht="12.75" customHeight="1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  <c r="AB800" s="48"/>
    </row>
    <row r="801" spans="1:28" ht="12.75" customHeight="1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  <c r="AB801" s="48"/>
    </row>
    <row r="802" spans="1:28" ht="12.75" customHeight="1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  <c r="AB802" s="48"/>
    </row>
    <row r="803" spans="1:28" ht="12.75" customHeight="1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  <c r="AB803" s="48"/>
    </row>
    <row r="804" spans="1:28" ht="12.75" customHeight="1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  <c r="AB804" s="48"/>
    </row>
    <row r="805" spans="1:28" ht="12.75" customHeight="1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  <c r="AB805" s="48"/>
    </row>
    <row r="806" spans="1:28" ht="12.75" customHeight="1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  <c r="AB806" s="48"/>
    </row>
    <row r="807" spans="1:28" ht="12.75" customHeight="1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  <c r="AB807" s="48"/>
    </row>
    <row r="808" spans="1:28" ht="12.75" customHeight="1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  <c r="AB808" s="48"/>
    </row>
    <row r="809" spans="1:28" ht="12.75" customHeight="1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  <c r="AB809" s="48"/>
    </row>
    <row r="810" spans="1:28" ht="12.75" customHeight="1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  <c r="AB810" s="48"/>
    </row>
    <row r="811" spans="1:28" ht="12.75" customHeight="1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  <c r="AB811" s="48"/>
    </row>
    <row r="812" spans="1:28" ht="12.75" customHeight="1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  <c r="AB812" s="48"/>
    </row>
    <row r="813" spans="1:28" ht="12.75" customHeight="1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  <c r="AB813" s="48"/>
    </row>
    <row r="814" spans="1:28" ht="12.75" customHeight="1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  <c r="AB814" s="48"/>
    </row>
    <row r="815" spans="1:28" ht="12.75" customHeight="1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  <c r="AB815" s="48"/>
    </row>
    <row r="816" spans="1:28" ht="12.75" customHeight="1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  <c r="AB816" s="48"/>
    </row>
    <row r="817" spans="1:28" ht="12.75" customHeight="1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  <c r="AB817" s="48"/>
    </row>
    <row r="818" spans="1:28" ht="12.75" customHeight="1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  <c r="AB818" s="48"/>
    </row>
    <row r="819" spans="1:28" ht="12.75" customHeight="1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  <c r="AB819" s="48"/>
    </row>
    <row r="820" spans="1:28" ht="12.75" customHeight="1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  <c r="AB820" s="48"/>
    </row>
    <row r="821" spans="1:28" ht="12.75" customHeight="1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  <c r="AB821" s="48"/>
    </row>
    <row r="822" spans="1:28" ht="12.75" customHeight="1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  <c r="AB822" s="48"/>
    </row>
    <row r="823" spans="1:28" ht="12.75" customHeight="1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  <c r="AB823" s="48"/>
    </row>
    <row r="824" spans="1:28" ht="12.75" customHeight="1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  <c r="AB824" s="48"/>
    </row>
    <row r="825" spans="1:28" ht="12.75" customHeight="1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  <c r="AB825" s="48"/>
    </row>
    <row r="826" spans="1:28" ht="12.75" customHeight="1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  <c r="AB826" s="48"/>
    </row>
    <row r="827" spans="1:28" ht="12.75" customHeight="1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  <c r="AB827" s="48"/>
    </row>
    <row r="828" spans="1:28" ht="12.75" customHeight="1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  <c r="AB828" s="48"/>
    </row>
    <row r="829" spans="1:28" ht="12.75" customHeight="1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  <c r="AB829" s="48"/>
    </row>
    <row r="830" spans="1:28" ht="12.75" customHeight="1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  <c r="AB830" s="48"/>
    </row>
    <row r="831" spans="1:28" ht="12.75" customHeight="1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  <c r="AB831" s="48"/>
    </row>
    <row r="832" spans="1:28" ht="12.75" customHeight="1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  <c r="AB832" s="48"/>
    </row>
    <row r="833" spans="1:28" ht="12.75" customHeight="1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  <c r="AB833" s="48"/>
    </row>
    <row r="834" spans="1:28" ht="12.75" customHeight="1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  <c r="AB834" s="48"/>
    </row>
    <row r="835" spans="1:28" ht="12.75" customHeight="1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  <c r="AB835" s="48"/>
    </row>
    <row r="836" spans="1:28" ht="12.75" customHeight="1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  <c r="AB836" s="48"/>
    </row>
    <row r="837" spans="1:28" ht="12.75" customHeight="1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  <c r="AB837" s="48"/>
    </row>
    <row r="838" spans="1:28" ht="12.75" customHeight="1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  <c r="AB838" s="48"/>
    </row>
    <row r="839" spans="1:28" ht="12.75" customHeight="1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  <c r="AB839" s="48"/>
    </row>
    <row r="840" spans="1:28" ht="12.75" customHeight="1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  <c r="AB840" s="48"/>
    </row>
    <row r="841" spans="1:28" ht="12.75" customHeight="1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  <c r="AB841" s="48"/>
    </row>
    <row r="842" spans="1:28" ht="12.75" customHeight="1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  <c r="AB842" s="48"/>
    </row>
    <row r="843" spans="1:28" ht="12.75" customHeight="1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  <c r="AB843" s="48"/>
    </row>
    <row r="844" spans="1:28" ht="12.75" customHeight="1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  <c r="AB844" s="48"/>
    </row>
    <row r="845" spans="1:28" ht="12.75" customHeight="1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  <c r="AB845" s="48"/>
    </row>
    <row r="846" spans="1:28" ht="12.75" customHeight="1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  <c r="AB846" s="48"/>
    </row>
    <row r="847" spans="1:28" ht="12.75" customHeight="1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  <c r="AB847" s="48"/>
    </row>
    <row r="848" spans="1:28" ht="12.75" customHeight="1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  <c r="AB848" s="48"/>
    </row>
    <row r="849" spans="1:28" ht="12.75" customHeight="1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  <c r="AB849" s="48"/>
    </row>
    <row r="850" spans="1:28" ht="12.75" customHeight="1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  <c r="AB850" s="48"/>
    </row>
    <row r="851" spans="1:28" ht="12.75" customHeight="1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  <c r="AB851" s="48"/>
    </row>
    <row r="852" spans="1:28" ht="12.75" customHeight="1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  <c r="AB852" s="48"/>
    </row>
    <row r="853" spans="1:28" ht="12.75" customHeight="1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  <c r="AB853" s="48"/>
    </row>
    <row r="854" spans="1:28" ht="12.75" customHeight="1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  <c r="AB854" s="48"/>
    </row>
    <row r="855" spans="1:28" ht="12.75" customHeight="1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  <c r="AB855" s="48"/>
    </row>
    <row r="856" spans="1:28" ht="12.75" customHeight="1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  <c r="AB856" s="48"/>
    </row>
    <row r="857" spans="1:28" ht="12.75" customHeight="1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  <c r="AB857" s="48"/>
    </row>
    <row r="858" spans="1:28" ht="12.75" customHeight="1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  <c r="AB858" s="48"/>
    </row>
    <row r="859" spans="1:28" ht="12.75" customHeight="1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  <c r="AB859" s="48"/>
    </row>
    <row r="860" spans="1:28" ht="12.75" customHeight="1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  <c r="AB860" s="48"/>
    </row>
    <row r="861" spans="1:28" ht="12.75" customHeight="1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  <c r="AB861" s="48"/>
    </row>
    <row r="862" spans="1:28" ht="12.75" customHeight="1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  <c r="AB862" s="48"/>
    </row>
    <row r="863" spans="1:28" ht="12.75" customHeight="1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  <c r="AB863" s="48"/>
    </row>
    <row r="864" spans="1:28" ht="12.75" customHeight="1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  <c r="AB864" s="48"/>
    </row>
    <row r="865" spans="1:28" ht="12.75" customHeight="1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  <c r="AB865" s="48"/>
    </row>
    <row r="866" spans="1:28" ht="12.75" customHeight="1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  <c r="AB866" s="48"/>
    </row>
    <row r="867" spans="1:28" ht="12.75" customHeight="1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  <c r="AB867" s="48"/>
    </row>
    <row r="868" spans="1:28" ht="12.75" customHeight="1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  <c r="AB868" s="48"/>
    </row>
    <row r="869" spans="1:28" ht="12.75" customHeight="1">
      <c r="A869" s="48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  <c r="AB869" s="48"/>
    </row>
    <row r="870" spans="1:28" ht="12.75" customHeight="1">
      <c r="A870" s="48"/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  <c r="AB870" s="48"/>
    </row>
    <row r="871" spans="1:28" ht="12.75" customHeight="1">
      <c r="A871" s="48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  <c r="AB871" s="48"/>
    </row>
    <row r="872" spans="1:28" ht="12.75" customHeight="1">
      <c r="A872" s="48"/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  <c r="AB872" s="48"/>
    </row>
    <row r="873" spans="1:28" ht="12.75" customHeight="1">
      <c r="A873" s="48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  <c r="AB873" s="48"/>
    </row>
    <row r="874" spans="1:28" ht="12.75" customHeight="1">
      <c r="A874" s="48"/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  <c r="AB874" s="48"/>
    </row>
    <row r="875" spans="1:28" ht="12.75" customHeight="1">
      <c r="A875" s="48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  <c r="AB875" s="48"/>
    </row>
    <row r="876" spans="1:28" ht="12.75" customHeight="1">
      <c r="A876" s="48"/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  <c r="AB876" s="48"/>
    </row>
    <row r="877" spans="1:28" ht="12.75" customHeight="1">
      <c r="A877" s="48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  <c r="AB877" s="48"/>
    </row>
    <row r="878" spans="1:28" ht="12.75" customHeight="1">
      <c r="A878" s="48"/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  <c r="AB878" s="48"/>
    </row>
    <row r="879" spans="1:28" ht="12.75" customHeight="1">
      <c r="A879" s="48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  <c r="AB879" s="48"/>
    </row>
    <row r="880" spans="1:28" ht="12.75" customHeight="1">
      <c r="A880" s="48"/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  <c r="AB880" s="48"/>
    </row>
    <row r="881" spans="1:28" ht="12.75" customHeight="1">
      <c r="A881" s="48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  <c r="AB881" s="48"/>
    </row>
    <row r="882" spans="1:28" ht="12.75" customHeight="1">
      <c r="A882" s="48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  <c r="AB882" s="48"/>
    </row>
    <row r="883" spans="1:28" ht="12.75" customHeight="1">
      <c r="A883" s="48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  <c r="AB883" s="48"/>
    </row>
    <row r="884" spans="1:28" ht="12.75" customHeight="1">
      <c r="A884" s="48"/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  <c r="AB884" s="48"/>
    </row>
    <row r="885" spans="1:28" ht="12.75" customHeight="1">
      <c r="A885" s="48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  <c r="AB885" s="48"/>
    </row>
    <row r="886" spans="1:28" ht="12.75" customHeight="1">
      <c r="A886" s="48"/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  <c r="AB886" s="48"/>
    </row>
    <row r="887" spans="1:28" ht="12.75" customHeight="1">
      <c r="A887" s="48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  <c r="AB887" s="48"/>
    </row>
    <row r="888" spans="1:28" ht="12.75" customHeight="1">
      <c r="A888" s="48"/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  <c r="AB888" s="48"/>
    </row>
    <row r="889" spans="1:28" ht="12.75" customHeight="1">
      <c r="A889" s="48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  <c r="AB889" s="48"/>
    </row>
    <row r="890" spans="1:28" ht="12.75" customHeight="1">
      <c r="A890" s="48"/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  <c r="AB890" s="48"/>
    </row>
    <row r="891" spans="1:28" ht="12.75" customHeight="1">
      <c r="A891" s="48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  <c r="AB891" s="48"/>
    </row>
    <row r="892" spans="1:28" ht="12.75" customHeight="1">
      <c r="A892" s="48"/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  <c r="AB892" s="48"/>
    </row>
    <row r="893" spans="1:28" ht="12.75" customHeight="1">
      <c r="A893" s="48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  <c r="AB893" s="48"/>
    </row>
    <row r="894" spans="1:28" ht="12.75" customHeight="1">
      <c r="A894" s="48"/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  <c r="AB894" s="48"/>
    </row>
    <row r="895" spans="1:28" ht="12.75" customHeight="1">
      <c r="A895" s="48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  <c r="AB895" s="48"/>
    </row>
    <row r="896" spans="1:28" ht="12.75" customHeight="1">
      <c r="A896" s="48"/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  <c r="AB896" s="48"/>
    </row>
    <row r="897" spans="1:28" ht="12.75" customHeight="1">
      <c r="A897" s="48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  <c r="AB897" s="48"/>
    </row>
    <row r="898" spans="1:28" ht="12.75" customHeight="1">
      <c r="A898" s="48"/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  <c r="AB898" s="48"/>
    </row>
    <row r="899" spans="1:28" ht="12.75" customHeight="1">
      <c r="A899" s="48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  <c r="AB899" s="48"/>
    </row>
    <row r="900" spans="1:28" ht="12.75" customHeight="1">
      <c r="A900" s="48"/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  <c r="AB900" s="48"/>
    </row>
    <row r="901" spans="1:28" ht="12.75" customHeight="1">
      <c r="A901" s="48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  <c r="AB901" s="48"/>
    </row>
    <row r="902" spans="1:28" ht="12.75" customHeight="1">
      <c r="A902" s="48"/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  <c r="AB902" s="48"/>
    </row>
    <row r="903" spans="1:28" ht="12.75" customHeight="1">
      <c r="A903" s="48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  <c r="AB903" s="48"/>
    </row>
    <row r="904" spans="1:28" ht="12.75" customHeight="1">
      <c r="A904" s="48"/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  <c r="AB904" s="48"/>
    </row>
    <row r="905" spans="1:28" ht="12.75" customHeight="1">
      <c r="A905" s="48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  <c r="AB905" s="48"/>
    </row>
    <row r="906" spans="1:28" ht="12.75" customHeight="1">
      <c r="A906" s="48"/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  <c r="AB906" s="48"/>
    </row>
    <row r="907" spans="1:28" ht="12.75" customHeight="1">
      <c r="A907" s="48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  <c r="AB907" s="48"/>
    </row>
    <row r="908" spans="1:28" ht="12.75" customHeight="1">
      <c r="A908" s="48"/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  <c r="AB908" s="48"/>
    </row>
    <row r="909" spans="1:28" ht="12.75" customHeight="1">
      <c r="A909" s="48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  <c r="AB909" s="48"/>
    </row>
    <row r="910" spans="1:28" ht="12.75" customHeight="1">
      <c r="A910" s="48"/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  <c r="AB910" s="48"/>
    </row>
    <row r="911" spans="1:28" ht="12.75" customHeight="1">
      <c r="A911" s="48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  <c r="AB911" s="48"/>
    </row>
    <row r="912" spans="1:28" ht="12.75" customHeight="1">
      <c r="A912" s="48"/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  <c r="AB912" s="48"/>
    </row>
    <row r="913" spans="1:28" ht="12.75" customHeight="1">
      <c r="A913" s="48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  <c r="AB913" s="48"/>
    </row>
    <row r="914" spans="1:28" ht="12.75" customHeight="1">
      <c r="A914" s="48"/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  <c r="AB914" s="48"/>
    </row>
    <row r="915" spans="1:28" ht="12.75" customHeight="1">
      <c r="A915" s="48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  <c r="AB915" s="48"/>
    </row>
    <row r="916" spans="1:28" ht="12.75" customHeight="1">
      <c r="A916" s="48"/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  <c r="AB916" s="48"/>
    </row>
    <row r="917" spans="1:28" ht="12.75" customHeight="1">
      <c r="A917" s="48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  <c r="AB917" s="48"/>
    </row>
    <row r="918" spans="1:28" ht="12.75" customHeight="1">
      <c r="A918" s="48"/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  <c r="AB918" s="48"/>
    </row>
    <row r="919" spans="1:28" ht="12.75" customHeight="1">
      <c r="A919" s="48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  <c r="AB919" s="48"/>
    </row>
    <row r="920" spans="1:28" ht="12.75" customHeight="1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  <c r="AB920" s="48"/>
    </row>
    <row r="921" spans="1:28" ht="12.75" customHeight="1">
      <c r="A921" s="48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  <c r="AB921" s="48"/>
    </row>
    <row r="922" spans="1:28" ht="12.75" customHeight="1">
      <c r="A922" s="48"/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  <c r="AB922" s="48"/>
    </row>
    <row r="923" spans="1:28" ht="12.75" customHeight="1">
      <c r="A923" s="48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  <c r="AB923" s="48"/>
    </row>
    <row r="924" spans="1:28" ht="12.75" customHeight="1">
      <c r="A924" s="48"/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  <c r="AB924" s="48"/>
    </row>
    <row r="925" spans="1:28" ht="12.75" customHeight="1">
      <c r="A925" s="48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  <c r="AB925" s="48"/>
    </row>
    <row r="926" spans="1:28" ht="12.75" customHeight="1">
      <c r="A926" s="48"/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  <c r="AB926" s="48"/>
    </row>
    <row r="927" spans="1:28" ht="12.75" customHeight="1">
      <c r="A927" s="48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  <c r="AB927" s="48"/>
    </row>
    <row r="928" spans="1:28" ht="12.75" customHeight="1">
      <c r="A928" s="48"/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  <c r="AB928" s="48"/>
    </row>
    <row r="929" spans="1:28" ht="12.75" customHeight="1">
      <c r="A929" s="48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  <c r="AB929" s="48"/>
    </row>
    <row r="930" spans="1:28" ht="12.75" customHeight="1">
      <c r="A930" s="48"/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  <c r="AB930" s="48"/>
    </row>
    <row r="931" spans="1:28" ht="12.75" customHeight="1">
      <c r="A931" s="48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  <c r="AB931" s="48"/>
    </row>
    <row r="932" spans="1:28" ht="12.75" customHeight="1">
      <c r="A932" s="48"/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  <c r="AB932" s="48"/>
    </row>
    <row r="933" spans="1:28" ht="12.75" customHeight="1">
      <c r="A933" s="48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  <c r="AB933" s="48"/>
    </row>
    <row r="934" spans="1:28" ht="12.75" customHeight="1">
      <c r="A934" s="48"/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  <c r="AB934" s="48"/>
    </row>
    <row r="935" spans="1:28" ht="12.75" customHeight="1">
      <c r="A935" s="48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  <c r="AB935" s="48"/>
    </row>
    <row r="936" spans="1:28" ht="12.75" customHeight="1">
      <c r="A936" s="48"/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  <c r="AB936" s="48"/>
    </row>
    <row r="937" spans="1:28" ht="12.75" customHeight="1">
      <c r="A937" s="48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  <c r="AB937" s="48"/>
    </row>
    <row r="938" spans="1:28" ht="12.75" customHeight="1">
      <c r="A938" s="48"/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  <c r="AB938" s="48"/>
    </row>
    <row r="939" spans="1:28" ht="12.75" customHeight="1">
      <c r="A939" s="48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  <c r="AB939" s="48"/>
    </row>
    <row r="940" spans="1:28" ht="12.75" customHeight="1">
      <c r="A940" s="48"/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  <c r="AB940" s="48"/>
    </row>
    <row r="941" spans="1:28" ht="12.75" customHeight="1">
      <c r="A941" s="48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  <c r="AB941" s="48"/>
    </row>
    <row r="942" spans="1:28" ht="12.75" customHeight="1">
      <c r="A942" s="48"/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  <c r="AB942" s="48"/>
    </row>
    <row r="943" spans="1:28" ht="12.75" customHeight="1">
      <c r="A943" s="48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  <c r="AB943" s="48"/>
    </row>
    <row r="944" spans="1:28" ht="12.75" customHeight="1">
      <c r="A944" s="48"/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  <c r="AB944" s="48"/>
    </row>
    <row r="945" spans="1:28" ht="12.75" customHeight="1">
      <c r="A945" s="48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  <c r="AB945" s="48"/>
    </row>
    <row r="946" spans="1:28" ht="12.75" customHeight="1">
      <c r="A946" s="48"/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  <c r="AB946" s="48"/>
    </row>
    <row r="947" spans="1:28" ht="12.75" customHeight="1">
      <c r="A947" s="48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  <c r="AB947" s="48"/>
    </row>
    <row r="948" spans="1:28" ht="12.75" customHeight="1">
      <c r="A948" s="48"/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  <c r="AB948" s="48"/>
    </row>
    <row r="949" spans="1:28" ht="12.75" customHeight="1">
      <c r="A949" s="48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  <c r="AB949" s="48"/>
    </row>
    <row r="950" spans="1:28" ht="12.75" customHeight="1">
      <c r="A950" s="48"/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  <c r="AB950" s="48"/>
    </row>
    <row r="951" spans="1:28" ht="12.75" customHeight="1">
      <c r="A951" s="48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  <c r="AB951" s="48"/>
    </row>
    <row r="952" spans="1:28" ht="12.75" customHeight="1">
      <c r="A952" s="48"/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  <c r="AB952" s="48"/>
    </row>
    <row r="953" spans="1:28" ht="12.75" customHeight="1">
      <c r="A953" s="48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  <c r="AB953" s="48"/>
    </row>
    <row r="954" spans="1:28" ht="12.75" customHeight="1">
      <c r="A954" s="48"/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  <c r="AB954" s="48"/>
    </row>
    <row r="955" spans="1:28" ht="12.75" customHeight="1">
      <c r="A955" s="48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  <c r="AB955" s="48"/>
    </row>
    <row r="956" spans="1:28" ht="12.75" customHeight="1">
      <c r="A956" s="48"/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  <c r="AB956" s="48"/>
    </row>
    <row r="957" spans="1:28" ht="12.75" customHeight="1">
      <c r="A957" s="48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  <c r="AB957" s="48"/>
    </row>
    <row r="958" spans="1:28" ht="12.75" customHeight="1">
      <c r="A958" s="48"/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  <c r="AB958" s="48"/>
    </row>
    <row r="959" spans="1:28" ht="12.75" customHeight="1">
      <c r="A959" s="48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  <c r="AB959" s="48"/>
    </row>
    <row r="960" spans="1:28" ht="12.75" customHeight="1">
      <c r="A960" s="48"/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  <c r="AB960" s="48"/>
    </row>
    <row r="961" spans="1:28" ht="12.75" customHeight="1">
      <c r="A961" s="48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  <c r="AB961" s="48"/>
    </row>
    <row r="962" spans="1:28" ht="12.75" customHeight="1">
      <c r="A962" s="48"/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  <c r="AB962" s="48"/>
    </row>
    <row r="963" spans="1:28" ht="12.75" customHeight="1">
      <c r="A963" s="48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  <c r="AB963" s="48"/>
    </row>
    <row r="964" spans="1:28" ht="12.75" customHeight="1">
      <c r="A964" s="48"/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  <c r="AB964" s="48"/>
    </row>
    <row r="965" spans="1:28" ht="12.75" customHeight="1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  <c r="AB965" s="48"/>
    </row>
    <row r="966" spans="1:28" ht="12.75" customHeight="1">
      <c r="A966" s="48"/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  <c r="AB966" s="48"/>
    </row>
    <row r="967" spans="1:28" ht="12.75" customHeight="1">
      <c r="A967" s="48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  <c r="AB967" s="48"/>
    </row>
    <row r="968" spans="1:28" ht="12.75" customHeight="1">
      <c r="A968" s="48"/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  <c r="AB968" s="48"/>
    </row>
    <row r="969" spans="1:28" ht="12.75" customHeight="1">
      <c r="A969" s="48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  <c r="AB969" s="48"/>
    </row>
    <row r="970" spans="1:28" ht="12.75" customHeight="1">
      <c r="A970" s="48"/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  <c r="AB970" s="48"/>
    </row>
    <row r="971" spans="1:28" ht="12.75" customHeight="1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  <c r="AB971" s="48"/>
    </row>
    <row r="972" spans="1:28" ht="12.75" customHeight="1">
      <c r="A972" s="48"/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  <c r="AB972" s="48"/>
    </row>
    <row r="973" spans="1:28" ht="12.75" customHeight="1">
      <c r="A973" s="48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  <c r="AB973" s="48"/>
    </row>
    <row r="974" spans="1:28" ht="12.75" customHeight="1">
      <c r="A974" s="48"/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  <c r="AB974" s="48"/>
    </row>
    <row r="975" spans="1:28" ht="12.75" customHeight="1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  <c r="AB975" s="48"/>
    </row>
    <row r="976" spans="1:28" ht="12.75" customHeight="1">
      <c r="A976" s="48"/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  <c r="AB976" s="48"/>
    </row>
    <row r="977" spans="1:28" ht="12.75" customHeight="1">
      <c r="A977" s="48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  <c r="AB977" s="48"/>
    </row>
    <row r="978" spans="1:28" ht="12.75" customHeight="1">
      <c r="A978" s="48"/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  <c r="AB978" s="48"/>
    </row>
    <row r="979" spans="1:28" ht="12.75" customHeight="1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  <c r="AB979" s="48"/>
    </row>
    <row r="980" spans="1:28" ht="12.75" customHeight="1">
      <c r="A980" s="48"/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  <c r="AB980" s="48"/>
    </row>
    <row r="981" spans="1:28" ht="12.75" customHeight="1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  <c r="AB981" s="48"/>
    </row>
    <row r="982" spans="1:28" ht="12.75" customHeight="1">
      <c r="A982" s="48"/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  <c r="AB982" s="48"/>
    </row>
    <row r="983" spans="1:28" ht="12.75" customHeight="1">
      <c r="A983" s="48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  <c r="AB983" s="48"/>
    </row>
    <row r="984" spans="1:28" ht="12.75" customHeight="1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  <c r="AB984" s="48"/>
    </row>
    <row r="985" spans="1:28" ht="12.75" customHeight="1">
      <c r="A985" s="48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  <c r="AB985" s="48"/>
    </row>
    <row r="986" spans="1:28" ht="12.75" customHeight="1">
      <c r="A986" s="48"/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  <c r="AB986" s="48"/>
    </row>
    <row r="987" spans="1:28" ht="12.75" customHeight="1">
      <c r="A987" s="48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  <c r="AB987" s="48"/>
    </row>
    <row r="988" spans="1:28" ht="12.75" customHeight="1">
      <c r="A988" s="48"/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  <c r="AB988" s="48"/>
    </row>
    <row r="989" spans="1:28" ht="12.75" customHeight="1">
      <c r="A989" s="48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  <c r="AB989" s="48"/>
    </row>
    <row r="990" spans="1:28" ht="12.75" customHeight="1">
      <c r="A990" s="48"/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  <c r="AB990" s="48"/>
    </row>
    <row r="991" spans="1:28" ht="12.75" customHeight="1">
      <c r="A991" s="48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  <c r="AB991" s="48"/>
    </row>
    <row r="992" spans="1:28" ht="12.75" customHeight="1">
      <c r="A992" s="48"/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  <c r="AB992" s="48"/>
    </row>
    <row r="993" spans="1:28" ht="12.75" customHeight="1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  <c r="AB993" s="48"/>
    </row>
    <row r="994" spans="1:28" ht="12.75" customHeight="1">
      <c r="A994" s="48"/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  <c r="AB994" s="48"/>
    </row>
    <row r="995" spans="1:28" ht="12.75" customHeight="1">
      <c r="A995" s="48"/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  <c r="AB995" s="48"/>
    </row>
    <row r="996" spans="1:28" ht="12.75" customHeight="1">
      <c r="A996" s="48"/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  <c r="AB996" s="48"/>
    </row>
    <row r="997" spans="1:28" ht="12.75" customHeight="1">
      <c r="A997" s="48"/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  <c r="AB997" s="48"/>
    </row>
    <row r="998" spans="1:28" ht="12.75" customHeight="1">
      <c r="A998" s="48"/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  <c r="AB998" s="48"/>
    </row>
    <row r="999" spans="1:28" ht="12.75" customHeight="1">
      <c r="A999" s="48"/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  <c r="AB999" s="48"/>
    </row>
    <row r="1000" spans="1:28" ht="12.75" customHeight="1">
      <c r="A1000" s="48"/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  <c r="AB1000" s="48"/>
    </row>
  </sheetData>
  <mergeCells count="4">
    <mergeCell ref="A10:A11"/>
    <mergeCell ref="B10:H11"/>
    <mergeCell ref="A18:A19"/>
    <mergeCell ref="B18:H19"/>
  </mergeCells>
  <pageMargins left="0.511811024" right="0.511811024" top="0.78740157499999996" bottom="0.78740157499999996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0"/>
  <sheetViews>
    <sheetView showGridLines="0" workbookViewId="0">
      <pane xSplit="16" ySplit="7" topLeftCell="Q44" activePane="bottomRight" state="frozen"/>
      <selection pane="topRight" activeCell="Q1" sqref="Q1"/>
      <selection pane="bottomLeft" activeCell="A8" sqref="A8"/>
      <selection pane="bottomRight" activeCell="D53" sqref="D53"/>
    </sheetView>
  </sheetViews>
  <sheetFormatPr defaultColWidth="14.44140625" defaultRowHeight="15" customHeight="1"/>
  <cols>
    <col min="1" max="1" width="1.5546875" customWidth="1"/>
    <col min="2" max="2" width="5.33203125" customWidth="1"/>
    <col min="3" max="3" width="27.6640625" customWidth="1"/>
    <col min="4" max="4" width="5" customWidth="1"/>
    <col min="5" max="5" width="2.6640625" customWidth="1"/>
    <col min="6" max="6" width="5.33203125" customWidth="1"/>
    <col min="7" max="7" width="27.6640625" customWidth="1"/>
    <col min="8" max="8" width="5" customWidth="1"/>
    <col min="9" max="9" width="2.6640625" customWidth="1"/>
    <col min="10" max="10" width="5.33203125" customWidth="1"/>
    <col min="11" max="11" width="27.6640625" customWidth="1"/>
    <col min="12" max="12" width="5" customWidth="1"/>
    <col min="13" max="13" width="2.44140625" customWidth="1"/>
    <col min="14" max="14" width="5.33203125" customWidth="1"/>
    <col min="15" max="15" width="27.6640625" customWidth="1"/>
    <col min="16" max="16" width="5" customWidth="1"/>
    <col min="17" max="17" width="2.6640625" customWidth="1"/>
    <col min="18" max="18" width="5.33203125" customWidth="1"/>
    <col min="19" max="19" width="27.6640625" customWidth="1"/>
    <col min="20" max="20" width="5" customWidth="1"/>
    <col min="21" max="21" width="2.6640625" customWidth="1"/>
    <col min="22" max="26" width="12.5546875" customWidth="1"/>
  </cols>
  <sheetData>
    <row r="1" spans="1:26" ht="12.75" customHeight="1">
      <c r="A1" s="16"/>
      <c r="B1" s="16"/>
      <c r="C1" s="16"/>
      <c r="D1" s="16"/>
      <c r="E1" s="16"/>
      <c r="F1" s="16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ht="12.75" customHeight="1">
      <c r="A2" s="1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7"/>
      <c r="V2" s="17"/>
      <c r="W2" s="17"/>
      <c r="X2" s="17"/>
      <c r="Y2" s="17"/>
      <c r="Z2" s="17"/>
    </row>
    <row r="3" spans="1:26" ht="30" customHeight="1">
      <c r="A3" s="17"/>
      <c r="B3" s="105" t="s">
        <v>13</v>
      </c>
      <c r="C3" s="106"/>
      <c r="D3" s="106"/>
      <c r="E3" s="106"/>
      <c r="F3" s="107"/>
      <c r="G3" s="108" t="s">
        <v>14</v>
      </c>
      <c r="H3" s="106"/>
      <c r="I3" s="106"/>
      <c r="J3" s="106"/>
      <c r="K3" s="107"/>
      <c r="L3" s="3"/>
      <c r="M3" s="3"/>
      <c r="N3" s="18"/>
      <c r="O3" s="18"/>
      <c r="P3" s="18"/>
      <c r="Q3" s="1"/>
      <c r="R3" s="1"/>
      <c r="S3" s="1"/>
      <c r="T3" s="1"/>
      <c r="U3" s="17"/>
      <c r="V3" s="17"/>
      <c r="W3" s="17"/>
      <c r="X3" s="17"/>
      <c r="Y3" s="17"/>
      <c r="Z3" s="17"/>
    </row>
    <row r="4" spans="1:26" ht="12.75" customHeight="1">
      <c r="A4" s="1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09" t="s">
        <v>3</v>
      </c>
      <c r="S4" s="106"/>
      <c r="T4" s="107"/>
      <c r="U4" s="17"/>
      <c r="V4" s="17"/>
      <c r="W4" s="17"/>
      <c r="X4" s="17"/>
      <c r="Y4" s="17"/>
      <c r="Z4" s="17"/>
    </row>
    <row r="5" spans="1:26" ht="12.75" customHeight="1">
      <c r="A5" s="17"/>
      <c r="V5" s="17"/>
      <c r="W5" s="17"/>
      <c r="X5" s="17"/>
      <c r="Y5" s="17"/>
      <c r="Z5" s="17"/>
    </row>
    <row r="6" spans="1:26" ht="12.75" customHeight="1">
      <c r="A6" s="17"/>
      <c r="B6" s="20" t="s">
        <v>16</v>
      </c>
      <c r="C6" s="19" t="s">
        <v>15</v>
      </c>
      <c r="D6" s="20" t="s">
        <v>6</v>
      </c>
      <c r="E6" s="21"/>
      <c r="F6" s="20" t="s">
        <v>16</v>
      </c>
      <c r="G6" s="19" t="s">
        <v>15</v>
      </c>
      <c r="H6" s="20" t="s">
        <v>6</v>
      </c>
      <c r="I6" s="21"/>
      <c r="J6" s="20" t="s">
        <v>16</v>
      </c>
      <c r="K6" s="19" t="s">
        <v>15</v>
      </c>
      <c r="L6" s="20" t="s">
        <v>6</v>
      </c>
      <c r="M6" s="21"/>
      <c r="N6" s="20" t="s">
        <v>16</v>
      </c>
      <c r="O6" s="19" t="s">
        <v>15</v>
      </c>
      <c r="P6" s="20" t="s">
        <v>6</v>
      </c>
      <c r="R6" s="20" t="s">
        <v>16</v>
      </c>
      <c r="S6" s="19" t="s">
        <v>15</v>
      </c>
      <c r="T6" s="20" t="s">
        <v>6</v>
      </c>
      <c r="V6" s="17"/>
      <c r="W6" s="17"/>
      <c r="X6" s="17"/>
      <c r="Y6" s="17"/>
      <c r="Z6" s="17"/>
    </row>
    <row r="7" spans="1:26" ht="12.75" customHeight="1">
      <c r="A7" s="17"/>
      <c r="B7" s="24" t="s">
        <v>18</v>
      </c>
      <c r="C7" s="22" t="s">
        <v>17</v>
      </c>
      <c r="D7" s="23"/>
      <c r="E7" s="25"/>
      <c r="F7" s="92" t="s">
        <v>520</v>
      </c>
      <c r="G7" s="22" t="s">
        <v>17</v>
      </c>
      <c r="H7" s="93"/>
      <c r="I7" s="25"/>
      <c r="J7" s="92" t="s">
        <v>521</v>
      </c>
      <c r="K7" s="22" t="s">
        <v>17</v>
      </c>
      <c r="L7" s="93"/>
      <c r="M7" s="25"/>
      <c r="N7" s="92" t="s">
        <v>522</v>
      </c>
      <c r="O7" s="22" t="s">
        <v>17</v>
      </c>
      <c r="P7" s="93"/>
      <c r="Q7" s="25"/>
      <c r="R7" s="92" t="s">
        <v>523</v>
      </c>
      <c r="S7" s="22" t="s">
        <v>524</v>
      </c>
      <c r="T7" s="93"/>
      <c r="V7" s="17"/>
      <c r="W7" s="17"/>
      <c r="X7" s="17"/>
      <c r="Y7" s="17"/>
      <c r="Z7" s="17"/>
    </row>
    <row r="8" spans="1:26" ht="12.75" customHeight="1">
      <c r="A8" s="17"/>
      <c r="B8" s="28" t="s">
        <v>20</v>
      </c>
      <c r="C8" s="26" t="s">
        <v>19</v>
      </c>
      <c r="D8" s="27">
        <v>7</v>
      </c>
      <c r="E8" s="25"/>
      <c r="F8" s="31" t="s">
        <v>127</v>
      </c>
      <c r="G8" s="29" t="s">
        <v>126</v>
      </c>
      <c r="H8" s="30">
        <v>3</v>
      </c>
      <c r="I8" s="25"/>
      <c r="J8" s="31" t="s">
        <v>218</v>
      </c>
      <c r="K8" s="29" t="s">
        <v>217</v>
      </c>
      <c r="L8" s="30">
        <v>6</v>
      </c>
      <c r="M8" s="25"/>
      <c r="N8" s="38" t="s">
        <v>84</v>
      </c>
      <c r="O8" s="36" t="s">
        <v>317</v>
      </c>
      <c r="P8" s="37">
        <v>7</v>
      </c>
      <c r="Q8" s="25"/>
      <c r="R8" s="31" t="s">
        <v>416</v>
      </c>
      <c r="S8" s="29" t="s">
        <v>415</v>
      </c>
      <c r="T8" s="30">
        <v>6</v>
      </c>
      <c r="V8" s="17"/>
      <c r="W8" s="17"/>
      <c r="X8" s="17"/>
      <c r="Y8" s="17"/>
      <c r="Z8" s="17"/>
    </row>
    <row r="9" spans="1:26" ht="12.75" customHeight="1">
      <c r="A9" s="17"/>
      <c r="B9" s="31" t="s">
        <v>22</v>
      </c>
      <c r="C9" s="29" t="s">
        <v>21</v>
      </c>
      <c r="D9" s="30">
        <v>6</v>
      </c>
      <c r="E9" s="25"/>
      <c r="F9" s="34" t="s">
        <v>525</v>
      </c>
      <c r="G9" s="32" t="s">
        <v>526</v>
      </c>
      <c r="H9" s="33">
        <v>6</v>
      </c>
      <c r="I9" s="25"/>
      <c r="J9" s="34" t="s">
        <v>150</v>
      </c>
      <c r="K9" s="32" t="s">
        <v>219</v>
      </c>
      <c r="L9" s="33">
        <v>4</v>
      </c>
      <c r="M9" s="25"/>
      <c r="N9" s="92" t="s">
        <v>527</v>
      </c>
      <c r="O9" s="22" t="s">
        <v>17</v>
      </c>
      <c r="P9" s="93"/>
      <c r="Q9" s="25"/>
      <c r="R9" s="34" t="s">
        <v>418</v>
      </c>
      <c r="S9" s="32" t="s">
        <v>417</v>
      </c>
      <c r="T9" s="33">
        <v>3</v>
      </c>
      <c r="V9" s="17"/>
      <c r="W9" s="17"/>
      <c r="X9" s="17"/>
      <c r="Y9" s="17"/>
      <c r="Z9" s="17"/>
    </row>
    <row r="10" spans="1:26" ht="12.75" customHeight="1">
      <c r="A10" s="17"/>
      <c r="B10" s="34" t="s">
        <v>24</v>
      </c>
      <c r="C10" s="32" t="s">
        <v>23</v>
      </c>
      <c r="D10" s="33">
        <v>7</v>
      </c>
      <c r="E10" s="25"/>
      <c r="F10" s="31" t="s">
        <v>464</v>
      </c>
      <c r="G10" s="29" t="s">
        <v>528</v>
      </c>
      <c r="H10" s="30">
        <v>6</v>
      </c>
      <c r="I10" s="25"/>
      <c r="J10" s="31" t="s">
        <v>221</v>
      </c>
      <c r="K10" s="29" t="s">
        <v>220</v>
      </c>
      <c r="L10" s="30">
        <v>4</v>
      </c>
      <c r="M10" s="25"/>
      <c r="N10" s="34" t="s">
        <v>319</v>
      </c>
      <c r="O10" s="32" t="s">
        <v>318</v>
      </c>
      <c r="P10" s="33">
        <v>3</v>
      </c>
      <c r="Q10" s="25"/>
      <c r="R10" s="31" t="s">
        <v>418</v>
      </c>
      <c r="S10" s="29" t="s">
        <v>419</v>
      </c>
      <c r="T10" s="30">
        <v>3</v>
      </c>
      <c r="V10" s="17"/>
      <c r="W10" s="17"/>
      <c r="X10" s="17"/>
      <c r="Y10" s="17"/>
      <c r="Z10" s="17"/>
    </row>
    <row r="11" spans="1:26" ht="12.75" customHeight="1">
      <c r="A11" s="17"/>
      <c r="B11" s="31" t="s">
        <v>26</v>
      </c>
      <c r="C11" s="29" t="s">
        <v>25</v>
      </c>
      <c r="D11" s="30">
        <v>7</v>
      </c>
      <c r="E11" s="25"/>
      <c r="F11" s="34" t="s">
        <v>130</v>
      </c>
      <c r="G11" s="32" t="s">
        <v>129</v>
      </c>
      <c r="H11" s="33">
        <v>4</v>
      </c>
      <c r="I11" s="25"/>
      <c r="J11" s="34" t="s">
        <v>158</v>
      </c>
      <c r="K11" s="32" t="s">
        <v>222</v>
      </c>
      <c r="L11" s="33">
        <v>6</v>
      </c>
      <c r="M11" s="25"/>
      <c r="N11" s="31" t="s">
        <v>321</v>
      </c>
      <c r="O11" s="29" t="s">
        <v>320</v>
      </c>
      <c r="P11" s="30">
        <v>7</v>
      </c>
      <c r="Q11" s="25"/>
      <c r="R11" s="34" t="s">
        <v>418</v>
      </c>
      <c r="S11" s="32" t="s">
        <v>420</v>
      </c>
      <c r="T11" s="33">
        <v>3</v>
      </c>
      <c r="V11" s="17"/>
      <c r="W11" s="17"/>
      <c r="X11" s="17"/>
      <c r="Y11" s="17"/>
      <c r="Z11" s="17"/>
    </row>
    <row r="12" spans="1:26" ht="12.75" customHeight="1">
      <c r="A12" s="17"/>
      <c r="B12" s="34" t="s">
        <v>28</v>
      </c>
      <c r="C12" s="32" t="s">
        <v>27</v>
      </c>
      <c r="D12" s="33">
        <v>4</v>
      </c>
      <c r="E12" s="25"/>
      <c r="F12" s="92" t="s">
        <v>529</v>
      </c>
      <c r="G12" s="22" t="s">
        <v>17</v>
      </c>
      <c r="H12" s="93"/>
      <c r="I12" s="25"/>
      <c r="J12" s="31" t="s">
        <v>150</v>
      </c>
      <c r="K12" s="29" t="s">
        <v>223</v>
      </c>
      <c r="L12" s="30">
        <v>4</v>
      </c>
      <c r="M12" s="25"/>
      <c r="N12" s="34" t="s">
        <v>323</v>
      </c>
      <c r="O12" s="32" t="s">
        <v>322</v>
      </c>
      <c r="P12" s="33">
        <v>7</v>
      </c>
      <c r="Q12" s="25"/>
      <c r="R12" s="31" t="s">
        <v>422</v>
      </c>
      <c r="S12" s="29" t="s">
        <v>421</v>
      </c>
      <c r="T12" s="30">
        <v>3</v>
      </c>
      <c r="V12" s="17"/>
      <c r="W12" s="17"/>
      <c r="X12" s="17"/>
      <c r="Y12" s="17"/>
      <c r="Z12" s="17"/>
    </row>
    <row r="13" spans="1:26" ht="12.75" customHeight="1">
      <c r="A13" s="17"/>
      <c r="B13" s="31" t="s">
        <v>30</v>
      </c>
      <c r="C13" s="29" t="s">
        <v>29</v>
      </c>
      <c r="D13" s="30">
        <v>7</v>
      </c>
      <c r="E13" s="25"/>
      <c r="F13" s="31" t="s">
        <v>132</v>
      </c>
      <c r="G13" s="29" t="s">
        <v>131</v>
      </c>
      <c r="H13" s="30">
        <v>4</v>
      </c>
      <c r="I13" s="25"/>
      <c r="J13" s="34" t="s">
        <v>225</v>
      </c>
      <c r="K13" s="32" t="s">
        <v>224</v>
      </c>
      <c r="L13" s="33">
        <v>6</v>
      </c>
      <c r="M13" s="25"/>
      <c r="N13" s="31" t="s">
        <v>325</v>
      </c>
      <c r="O13" s="29" t="s">
        <v>324</v>
      </c>
      <c r="P13" s="30">
        <v>7</v>
      </c>
      <c r="Q13" s="25"/>
      <c r="R13" s="34" t="s">
        <v>424</v>
      </c>
      <c r="S13" s="32" t="s">
        <v>423</v>
      </c>
      <c r="T13" s="33">
        <v>3</v>
      </c>
      <c r="V13" s="17"/>
      <c r="W13" s="17"/>
      <c r="X13" s="17"/>
      <c r="Y13" s="17"/>
      <c r="Z13" s="17"/>
    </row>
    <row r="14" spans="1:26" ht="12.75" customHeight="1">
      <c r="A14" s="17"/>
      <c r="B14" s="34" t="s">
        <v>32</v>
      </c>
      <c r="C14" s="32" t="s">
        <v>31</v>
      </c>
      <c r="D14" s="33">
        <v>3</v>
      </c>
      <c r="E14" s="25"/>
      <c r="F14" s="34" t="s">
        <v>134</v>
      </c>
      <c r="G14" s="32" t="s">
        <v>133</v>
      </c>
      <c r="H14" s="33">
        <v>7</v>
      </c>
      <c r="I14" s="25"/>
      <c r="J14" s="31" t="s">
        <v>227</v>
      </c>
      <c r="K14" s="29" t="s">
        <v>226</v>
      </c>
      <c r="L14" s="30">
        <v>4</v>
      </c>
      <c r="M14" s="25"/>
      <c r="N14" s="34" t="s">
        <v>327</v>
      </c>
      <c r="O14" s="32" t="s">
        <v>326</v>
      </c>
      <c r="P14" s="33">
        <v>4</v>
      </c>
      <c r="Q14" s="25"/>
      <c r="R14" s="31" t="s">
        <v>426</v>
      </c>
      <c r="S14" s="29" t="s">
        <v>425</v>
      </c>
      <c r="T14" s="30">
        <v>3</v>
      </c>
      <c r="V14" s="17"/>
      <c r="W14" s="17"/>
      <c r="X14" s="17"/>
      <c r="Y14" s="17"/>
      <c r="Z14" s="17"/>
    </row>
    <row r="15" spans="1:26" ht="12.75" customHeight="1">
      <c r="A15" s="17"/>
      <c r="B15" s="31" t="s">
        <v>34</v>
      </c>
      <c r="C15" s="29" t="s">
        <v>33</v>
      </c>
      <c r="D15" s="30">
        <v>3</v>
      </c>
      <c r="E15" s="25"/>
      <c r="F15" s="31" t="s">
        <v>136</v>
      </c>
      <c r="G15" s="29" t="s">
        <v>135</v>
      </c>
      <c r="H15" s="30">
        <v>3</v>
      </c>
      <c r="I15" s="25"/>
      <c r="J15" s="34" t="s">
        <v>121</v>
      </c>
      <c r="K15" s="32" t="s">
        <v>228</v>
      </c>
      <c r="L15" s="33">
        <v>7</v>
      </c>
      <c r="M15" s="25"/>
      <c r="N15" s="31" t="s">
        <v>329</v>
      </c>
      <c r="O15" s="29" t="s">
        <v>328</v>
      </c>
      <c r="P15" s="30">
        <v>3</v>
      </c>
      <c r="Q15" s="25"/>
      <c r="R15" s="34" t="s">
        <v>428</v>
      </c>
      <c r="S15" s="32" t="s">
        <v>427</v>
      </c>
      <c r="T15" s="33">
        <v>3</v>
      </c>
      <c r="V15" s="17"/>
      <c r="W15" s="17"/>
      <c r="X15" s="17"/>
      <c r="Y15" s="17"/>
      <c r="Z15" s="17"/>
    </row>
    <row r="16" spans="1:26" ht="12.75" customHeight="1">
      <c r="A16" s="17"/>
      <c r="B16" s="34" t="s">
        <v>36</v>
      </c>
      <c r="C16" s="32" t="s">
        <v>35</v>
      </c>
      <c r="D16" s="33">
        <v>1</v>
      </c>
      <c r="E16" s="25"/>
      <c r="F16" s="34" t="s">
        <v>530</v>
      </c>
      <c r="G16" s="32" t="s">
        <v>531</v>
      </c>
      <c r="H16" s="33">
        <v>3</v>
      </c>
      <c r="I16" s="25"/>
      <c r="J16" s="92" t="s">
        <v>532</v>
      </c>
      <c r="K16" s="22" t="s">
        <v>17</v>
      </c>
      <c r="L16" s="93"/>
      <c r="M16" s="25"/>
      <c r="N16" s="34" t="s">
        <v>331</v>
      </c>
      <c r="O16" s="32" t="s">
        <v>330</v>
      </c>
      <c r="P16" s="33">
        <v>7</v>
      </c>
      <c r="Q16" s="25"/>
      <c r="R16" s="31" t="s">
        <v>430</v>
      </c>
      <c r="S16" s="29" t="s">
        <v>429</v>
      </c>
      <c r="T16" s="30">
        <v>3</v>
      </c>
      <c r="V16" s="17"/>
      <c r="W16" s="17"/>
      <c r="X16" s="17"/>
      <c r="Y16" s="17"/>
      <c r="Z16" s="17"/>
    </row>
    <row r="17" spans="1:26" ht="12.75" customHeight="1">
      <c r="A17" s="17"/>
      <c r="B17" s="31" t="s">
        <v>38</v>
      </c>
      <c r="C17" s="29" t="s">
        <v>37</v>
      </c>
      <c r="D17" s="30">
        <v>6</v>
      </c>
      <c r="E17" s="25"/>
      <c r="F17" s="92" t="s">
        <v>533</v>
      </c>
      <c r="G17" s="22" t="s">
        <v>17</v>
      </c>
      <c r="H17" s="93"/>
      <c r="I17" s="25"/>
      <c r="J17" s="31" t="s">
        <v>230</v>
      </c>
      <c r="K17" s="29" t="s">
        <v>229</v>
      </c>
      <c r="L17" s="30">
        <v>3</v>
      </c>
      <c r="M17" s="25"/>
      <c r="N17" s="31" t="s">
        <v>333</v>
      </c>
      <c r="O17" s="29" t="s">
        <v>332</v>
      </c>
      <c r="P17" s="30">
        <v>6</v>
      </c>
      <c r="Q17" s="25"/>
      <c r="R17" s="34" t="s">
        <v>432</v>
      </c>
      <c r="S17" s="32" t="s">
        <v>431</v>
      </c>
      <c r="T17" s="33">
        <v>3</v>
      </c>
      <c r="V17" s="17"/>
      <c r="W17" s="17"/>
      <c r="X17" s="17"/>
      <c r="Y17" s="17"/>
      <c r="Z17" s="17"/>
    </row>
    <row r="18" spans="1:26" ht="12.75" customHeight="1">
      <c r="A18" s="17"/>
      <c r="B18" s="34" t="s">
        <v>40</v>
      </c>
      <c r="C18" s="32" t="s">
        <v>39</v>
      </c>
      <c r="D18" s="33">
        <v>3</v>
      </c>
      <c r="E18" s="25"/>
      <c r="F18" s="31" t="s">
        <v>138</v>
      </c>
      <c r="G18" s="29" t="s">
        <v>137</v>
      </c>
      <c r="H18" s="30">
        <v>7</v>
      </c>
      <c r="I18" s="25"/>
      <c r="J18" s="34" t="s">
        <v>232</v>
      </c>
      <c r="K18" s="32" t="s">
        <v>231</v>
      </c>
      <c r="L18" s="33">
        <v>5</v>
      </c>
      <c r="M18" s="25"/>
      <c r="N18" s="34" t="s">
        <v>335</v>
      </c>
      <c r="O18" s="32" t="s">
        <v>334</v>
      </c>
      <c r="P18" s="33">
        <v>3</v>
      </c>
      <c r="Q18" s="25"/>
      <c r="R18" s="31" t="s">
        <v>434</v>
      </c>
      <c r="S18" s="29" t="s">
        <v>433</v>
      </c>
      <c r="T18" s="30">
        <v>7</v>
      </c>
      <c r="V18" s="17"/>
      <c r="W18" s="17"/>
      <c r="X18" s="17"/>
      <c r="Y18" s="17"/>
      <c r="Z18" s="17"/>
    </row>
    <row r="19" spans="1:26" ht="12.75" customHeight="1">
      <c r="A19" s="17"/>
      <c r="B19" s="31" t="s">
        <v>42</v>
      </c>
      <c r="C19" s="29" t="s">
        <v>41</v>
      </c>
      <c r="D19" s="30">
        <v>6</v>
      </c>
      <c r="E19" s="25"/>
      <c r="F19" s="34" t="s">
        <v>140</v>
      </c>
      <c r="G19" s="32" t="s">
        <v>139</v>
      </c>
      <c r="H19" s="33">
        <v>7</v>
      </c>
      <c r="I19" s="25"/>
      <c r="J19" s="31" t="s">
        <v>234</v>
      </c>
      <c r="K19" s="29" t="s">
        <v>233</v>
      </c>
      <c r="L19" s="30">
        <v>6</v>
      </c>
      <c r="M19" s="25"/>
      <c r="N19" s="31" t="s">
        <v>337</v>
      </c>
      <c r="O19" s="29" t="s">
        <v>336</v>
      </c>
      <c r="P19" s="30">
        <v>7</v>
      </c>
      <c r="Q19" s="25"/>
      <c r="R19" s="34" t="s">
        <v>436</v>
      </c>
      <c r="S19" s="32" t="s">
        <v>435</v>
      </c>
      <c r="T19" s="33">
        <v>3</v>
      </c>
      <c r="V19" s="17"/>
      <c r="W19" s="17"/>
      <c r="X19" s="17"/>
      <c r="Y19" s="17"/>
      <c r="Z19" s="17"/>
    </row>
    <row r="20" spans="1:26" ht="12.75" customHeight="1">
      <c r="A20" s="17"/>
      <c r="B20" s="34" t="s">
        <v>44</v>
      </c>
      <c r="C20" s="32" t="s">
        <v>43</v>
      </c>
      <c r="D20" s="33">
        <v>4</v>
      </c>
      <c r="E20" s="25"/>
      <c r="F20" s="31" t="s">
        <v>142</v>
      </c>
      <c r="G20" s="29" t="s">
        <v>141</v>
      </c>
      <c r="H20" s="30">
        <v>3</v>
      </c>
      <c r="I20" s="25"/>
      <c r="J20" s="34" t="s">
        <v>236</v>
      </c>
      <c r="K20" s="32" t="s">
        <v>235</v>
      </c>
      <c r="L20" s="33">
        <v>6</v>
      </c>
      <c r="M20" s="25"/>
      <c r="N20" s="34" t="s">
        <v>339</v>
      </c>
      <c r="O20" s="32" t="s">
        <v>338</v>
      </c>
      <c r="P20" s="33">
        <v>7</v>
      </c>
      <c r="Q20" s="25"/>
      <c r="R20" s="31" t="s">
        <v>438</v>
      </c>
      <c r="S20" s="29" t="s">
        <v>437</v>
      </c>
      <c r="T20" s="30">
        <v>7</v>
      </c>
      <c r="V20" s="17"/>
      <c r="W20" s="17"/>
      <c r="X20" s="17"/>
      <c r="Y20" s="17"/>
      <c r="Z20" s="17"/>
    </row>
    <row r="21" spans="1:26" ht="12.75" customHeight="1">
      <c r="A21" s="17"/>
      <c r="B21" s="31" t="s">
        <v>46</v>
      </c>
      <c r="C21" s="29" t="s">
        <v>45</v>
      </c>
      <c r="D21" s="30">
        <v>6</v>
      </c>
      <c r="E21" s="25"/>
      <c r="F21" s="34" t="s">
        <v>144</v>
      </c>
      <c r="G21" s="32" t="s">
        <v>143</v>
      </c>
      <c r="H21" s="33">
        <v>6</v>
      </c>
      <c r="I21" s="25"/>
      <c r="J21" s="92" t="s">
        <v>534</v>
      </c>
      <c r="K21" s="22" t="s">
        <v>17</v>
      </c>
      <c r="L21" s="93"/>
      <c r="M21" s="25"/>
      <c r="N21" s="31" t="s">
        <v>341</v>
      </c>
      <c r="O21" s="29" t="s">
        <v>340</v>
      </c>
      <c r="P21" s="30">
        <v>7</v>
      </c>
      <c r="Q21" s="25"/>
      <c r="R21" s="34" t="s">
        <v>440</v>
      </c>
      <c r="S21" s="32" t="s">
        <v>439</v>
      </c>
      <c r="T21" s="33">
        <v>4</v>
      </c>
      <c r="V21" s="17"/>
      <c r="W21" s="17"/>
      <c r="X21" s="17"/>
      <c r="Y21" s="17"/>
      <c r="Z21" s="17"/>
    </row>
    <row r="22" spans="1:26" ht="12.75" customHeight="1">
      <c r="A22" s="17"/>
      <c r="B22" s="92" t="s">
        <v>535</v>
      </c>
      <c r="C22" s="22" t="s">
        <v>17</v>
      </c>
      <c r="D22" s="93"/>
      <c r="E22" s="25"/>
      <c r="F22" s="31" t="s">
        <v>221</v>
      </c>
      <c r="G22" s="29" t="s">
        <v>536</v>
      </c>
      <c r="H22" s="30">
        <v>4</v>
      </c>
      <c r="I22" s="25"/>
      <c r="J22" s="31" t="s">
        <v>238</v>
      </c>
      <c r="K22" s="29" t="s">
        <v>237</v>
      </c>
      <c r="L22" s="30">
        <v>7</v>
      </c>
      <c r="M22" s="25"/>
      <c r="N22" s="34" t="s">
        <v>42</v>
      </c>
      <c r="O22" s="32" t="s">
        <v>342</v>
      </c>
      <c r="P22" s="33">
        <v>6</v>
      </c>
      <c r="Q22" s="25"/>
      <c r="R22" s="31" t="s">
        <v>442</v>
      </c>
      <c r="S22" s="29" t="s">
        <v>441</v>
      </c>
      <c r="T22" s="30">
        <v>4</v>
      </c>
      <c r="V22" s="17"/>
      <c r="W22" s="17"/>
      <c r="X22" s="17"/>
      <c r="Y22" s="17"/>
      <c r="Z22" s="17"/>
    </row>
    <row r="23" spans="1:26" ht="12.75" customHeight="1">
      <c r="A23" s="17"/>
      <c r="B23" s="34" t="s">
        <v>48</v>
      </c>
      <c r="C23" s="32" t="s">
        <v>47</v>
      </c>
      <c r="D23" s="33">
        <v>3</v>
      </c>
      <c r="E23" s="25"/>
      <c r="F23" s="34" t="s">
        <v>146</v>
      </c>
      <c r="G23" s="32" t="s">
        <v>145</v>
      </c>
      <c r="H23" s="33">
        <v>3</v>
      </c>
      <c r="I23" s="25"/>
      <c r="J23" s="34" t="s">
        <v>240</v>
      </c>
      <c r="K23" s="32" t="s">
        <v>239</v>
      </c>
      <c r="L23" s="33">
        <v>7</v>
      </c>
      <c r="M23" s="25"/>
      <c r="N23" s="31" t="s">
        <v>344</v>
      </c>
      <c r="O23" s="29" t="s">
        <v>343</v>
      </c>
      <c r="P23" s="30">
        <v>7</v>
      </c>
      <c r="Q23" s="25"/>
      <c r="R23" s="34" t="s">
        <v>444</v>
      </c>
      <c r="S23" s="32" t="s">
        <v>443</v>
      </c>
      <c r="T23" s="33">
        <v>6</v>
      </c>
      <c r="V23" s="17"/>
      <c r="W23" s="17"/>
      <c r="X23" s="17"/>
      <c r="Y23" s="17"/>
      <c r="Z23" s="17"/>
    </row>
    <row r="24" spans="1:26" ht="12.75" customHeight="1">
      <c r="A24" s="17"/>
      <c r="B24" s="31" t="s">
        <v>50</v>
      </c>
      <c r="C24" s="29" t="s">
        <v>49</v>
      </c>
      <c r="D24" s="30">
        <v>6</v>
      </c>
      <c r="E24" s="25"/>
      <c r="F24" s="31" t="s">
        <v>148</v>
      </c>
      <c r="G24" s="29" t="s">
        <v>147</v>
      </c>
      <c r="H24" s="30">
        <v>7</v>
      </c>
      <c r="I24" s="25"/>
      <c r="J24" s="31" t="s">
        <v>242</v>
      </c>
      <c r="K24" s="29" t="s">
        <v>241</v>
      </c>
      <c r="L24" s="30">
        <v>7</v>
      </c>
      <c r="M24" s="25"/>
      <c r="N24" s="34" t="s">
        <v>346</v>
      </c>
      <c r="O24" s="32" t="s">
        <v>345</v>
      </c>
      <c r="P24" s="33">
        <v>4</v>
      </c>
      <c r="Q24" s="25"/>
      <c r="R24" s="92" t="s">
        <v>537</v>
      </c>
      <c r="S24" s="22" t="s">
        <v>17</v>
      </c>
      <c r="T24" s="93"/>
      <c r="V24" s="17"/>
      <c r="W24" s="17"/>
      <c r="X24" s="17"/>
      <c r="Y24" s="17"/>
      <c r="Z24" s="17"/>
    </row>
    <row r="25" spans="1:26" ht="12.75" customHeight="1">
      <c r="A25" s="17"/>
      <c r="B25" s="34" t="s">
        <v>52</v>
      </c>
      <c r="C25" s="32" t="s">
        <v>51</v>
      </c>
      <c r="D25" s="33">
        <v>6</v>
      </c>
      <c r="E25" s="25"/>
      <c r="F25" s="34" t="s">
        <v>150</v>
      </c>
      <c r="G25" s="32" t="s">
        <v>149</v>
      </c>
      <c r="H25" s="33">
        <v>4</v>
      </c>
      <c r="I25" s="25"/>
      <c r="J25" s="33" t="s">
        <v>244</v>
      </c>
      <c r="K25" s="42" t="s">
        <v>243</v>
      </c>
      <c r="L25" s="33">
        <v>7</v>
      </c>
      <c r="M25" s="25"/>
      <c r="N25" s="92" t="s">
        <v>538</v>
      </c>
      <c r="O25" s="22" t="s">
        <v>17</v>
      </c>
      <c r="P25" s="93"/>
      <c r="Q25" s="25"/>
      <c r="R25" s="31" t="s">
        <v>168</v>
      </c>
      <c r="S25" s="29" t="s">
        <v>445</v>
      </c>
      <c r="T25" s="30">
        <v>7</v>
      </c>
      <c r="V25" s="17"/>
      <c r="W25" s="17"/>
      <c r="X25" s="17"/>
      <c r="Y25" s="17"/>
      <c r="Z25" s="17"/>
    </row>
    <row r="26" spans="1:26" ht="12.75" customHeight="1">
      <c r="A26" s="17"/>
      <c r="B26" s="31" t="s">
        <v>54</v>
      </c>
      <c r="C26" s="29" t="s">
        <v>53</v>
      </c>
      <c r="D26" s="30">
        <v>3</v>
      </c>
      <c r="E26" s="25"/>
      <c r="F26" s="31" t="s">
        <v>152</v>
      </c>
      <c r="G26" s="29" t="s">
        <v>151</v>
      </c>
      <c r="H26" s="30">
        <v>7</v>
      </c>
      <c r="I26" s="25"/>
      <c r="J26" s="30" t="s">
        <v>246</v>
      </c>
      <c r="K26" s="43" t="s">
        <v>245</v>
      </c>
      <c r="L26" s="30">
        <v>5</v>
      </c>
      <c r="M26" s="25"/>
      <c r="N26" s="31" t="s">
        <v>348</v>
      </c>
      <c r="O26" s="29" t="s">
        <v>347</v>
      </c>
      <c r="P26" s="30">
        <v>6</v>
      </c>
      <c r="Q26" s="25"/>
      <c r="R26" s="34" t="s">
        <v>447</v>
      </c>
      <c r="S26" s="32" t="s">
        <v>446</v>
      </c>
      <c r="T26" s="33">
        <v>5</v>
      </c>
      <c r="V26" s="17"/>
      <c r="W26" s="17"/>
      <c r="X26" s="17"/>
      <c r="Y26" s="17"/>
      <c r="Z26" s="17"/>
    </row>
    <row r="27" spans="1:26" ht="12.75" customHeight="1">
      <c r="A27" s="17"/>
      <c r="B27" s="34" t="s">
        <v>56</v>
      </c>
      <c r="C27" s="32" t="s">
        <v>55</v>
      </c>
      <c r="D27" s="33">
        <v>6</v>
      </c>
      <c r="E27" s="25"/>
      <c r="F27" s="34" t="s">
        <v>154</v>
      </c>
      <c r="G27" s="32" t="s">
        <v>153</v>
      </c>
      <c r="H27" s="33">
        <v>6</v>
      </c>
      <c r="I27" s="25"/>
      <c r="J27" s="34" t="s">
        <v>248</v>
      </c>
      <c r="K27" s="32" t="s">
        <v>247</v>
      </c>
      <c r="L27" s="33">
        <v>6</v>
      </c>
      <c r="M27" s="25"/>
      <c r="N27" s="92" t="s">
        <v>539</v>
      </c>
      <c r="O27" s="22" t="s">
        <v>17</v>
      </c>
      <c r="P27" s="93"/>
      <c r="Q27" s="25"/>
      <c r="R27" s="31" t="s">
        <v>449</v>
      </c>
      <c r="S27" s="29" t="s">
        <v>448</v>
      </c>
      <c r="T27" s="30">
        <v>7</v>
      </c>
      <c r="V27" s="17"/>
      <c r="W27" s="17"/>
      <c r="X27" s="17"/>
      <c r="Y27" s="17"/>
      <c r="Z27" s="17"/>
    </row>
    <row r="28" spans="1:26" ht="12.75" customHeight="1">
      <c r="A28" s="17"/>
      <c r="B28" s="31" t="s">
        <v>58</v>
      </c>
      <c r="C28" s="29" t="s">
        <v>57</v>
      </c>
      <c r="D28" s="30">
        <v>4</v>
      </c>
      <c r="E28" s="25"/>
      <c r="F28" s="31" t="s">
        <v>156</v>
      </c>
      <c r="G28" s="29" t="s">
        <v>155</v>
      </c>
      <c r="H28" s="30">
        <v>7</v>
      </c>
      <c r="I28" s="25"/>
      <c r="J28" s="30" t="s">
        <v>250</v>
      </c>
      <c r="K28" s="43" t="s">
        <v>249</v>
      </c>
      <c r="L28" s="30">
        <v>6</v>
      </c>
      <c r="M28" s="25"/>
      <c r="N28" s="34" t="s">
        <v>350</v>
      </c>
      <c r="O28" s="32" t="s">
        <v>349</v>
      </c>
      <c r="P28" s="33">
        <v>6</v>
      </c>
      <c r="Q28" s="25"/>
      <c r="R28" s="34" t="s">
        <v>451</v>
      </c>
      <c r="S28" s="32" t="s">
        <v>450</v>
      </c>
      <c r="T28" s="33">
        <v>7</v>
      </c>
      <c r="V28" s="17"/>
      <c r="W28" s="17"/>
      <c r="X28" s="17"/>
      <c r="Y28" s="17"/>
      <c r="Z28" s="17"/>
    </row>
    <row r="29" spans="1:26" ht="12.75" customHeight="1">
      <c r="A29" s="17"/>
      <c r="B29" s="34" t="s">
        <v>60</v>
      </c>
      <c r="C29" s="32" t="s">
        <v>59</v>
      </c>
      <c r="D29" s="33">
        <v>3</v>
      </c>
      <c r="E29" s="25"/>
      <c r="F29" s="92" t="s">
        <v>540</v>
      </c>
      <c r="G29" s="22" t="s">
        <v>17</v>
      </c>
      <c r="H29" s="93"/>
      <c r="I29" s="25"/>
      <c r="J29" s="33" t="s">
        <v>252</v>
      </c>
      <c r="K29" s="42" t="s">
        <v>251</v>
      </c>
      <c r="L29" s="33">
        <v>7</v>
      </c>
      <c r="M29" s="25"/>
      <c r="N29" s="45" t="s">
        <v>352</v>
      </c>
      <c r="O29" s="44" t="s">
        <v>351</v>
      </c>
      <c r="P29" s="45">
        <v>7</v>
      </c>
      <c r="Q29" s="25"/>
      <c r="R29" s="31" t="s">
        <v>453</v>
      </c>
      <c r="S29" s="29" t="s">
        <v>452</v>
      </c>
      <c r="T29" s="30">
        <v>6</v>
      </c>
      <c r="V29" s="17"/>
      <c r="W29" s="17"/>
      <c r="X29" s="17"/>
      <c r="Y29" s="17"/>
      <c r="Z29" s="17"/>
    </row>
    <row r="30" spans="1:26" ht="12.75" customHeight="1">
      <c r="A30" s="17"/>
      <c r="B30" s="31" t="s">
        <v>62</v>
      </c>
      <c r="C30" s="29" t="s">
        <v>61</v>
      </c>
      <c r="D30" s="30">
        <v>7</v>
      </c>
      <c r="E30" s="25"/>
      <c r="F30" s="34" t="s">
        <v>158</v>
      </c>
      <c r="G30" s="32" t="s">
        <v>157</v>
      </c>
      <c r="H30" s="33">
        <v>6</v>
      </c>
      <c r="I30" s="25"/>
      <c r="J30" s="92" t="s">
        <v>541</v>
      </c>
      <c r="K30" s="22" t="s">
        <v>17</v>
      </c>
      <c r="L30" s="93"/>
      <c r="M30" s="25"/>
      <c r="N30" s="34" t="s">
        <v>354</v>
      </c>
      <c r="O30" s="32" t="s">
        <v>353</v>
      </c>
      <c r="P30" s="33">
        <v>3</v>
      </c>
      <c r="Q30" s="25"/>
      <c r="R30" s="34" t="s">
        <v>344</v>
      </c>
      <c r="S30" s="32" t="s">
        <v>454</v>
      </c>
      <c r="T30" s="33">
        <v>7</v>
      </c>
      <c r="V30" s="17"/>
      <c r="W30" s="17"/>
      <c r="X30" s="17"/>
      <c r="Y30" s="17"/>
      <c r="Z30" s="17"/>
    </row>
    <row r="31" spans="1:26" ht="12.75" customHeight="1">
      <c r="A31" s="17"/>
      <c r="B31" s="34" t="s">
        <v>64</v>
      </c>
      <c r="C31" s="32" t="s">
        <v>63</v>
      </c>
      <c r="D31" s="33">
        <v>3</v>
      </c>
      <c r="E31" s="25"/>
      <c r="F31" s="31" t="s">
        <v>160</v>
      </c>
      <c r="G31" s="29" t="s">
        <v>159</v>
      </c>
      <c r="H31" s="30">
        <v>6</v>
      </c>
      <c r="I31" s="25"/>
      <c r="J31" s="33" t="s">
        <v>254</v>
      </c>
      <c r="K31" s="42" t="s">
        <v>253</v>
      </c>
      <c r="L31" s="33">
        <v>6</v>
      </c>
      <c r="M31" s="25"/>
      <c r="N31" s="31" t="s">
        <v>356</v>
      </c>
      <c r="O31" s="29" t="s">
        <v>355</v>
      </c>
      <c r="P31" s="30">
        <v>7</v>
      </c>
      <c r="Q31" s="25"/>
      <c r="R31" s="31" t="s">
        <v>456</v>
      </c>
      <c r="S31" s="29" t="s">
        <v>455</v>
      </c>
      <c r="T31" s="30">
        <v>7</v>
      </c>
      <c r="V31" s="17"/>
      <c r="W31" s="17"/>
      <c r="X31" s="17"/>
      <c r="Y31" s="17"/>
      <c r="Z31" s="17"/>
    </row>
    <row r="32" spans="1:26" ht="12.75" customHeight="1">
      <c r="A32" s="17"/>
      <c r="B32" s="31" t="s">
        <v>66</v>
      </c>
      <c r="C32" s="29" t="s">
        <v>65</v>
      </c>
      <c r="D32" s="30">
        <v>7</v>
      </c>
      <c r="E32" s="25"/>
      <c r="F32" s="34" t="s">
        <v>162</v>
      </c>
      <c r="G32" s="32" t="s">
        <v>161</v>
      </c>
      <c r="H32" s="33">
        <v>7</v>
      </c>
      <c r="I32" s="25"/>
      <c r="J32" s="31" t="s">
        <v>256</v>
      </c>
      <c r="K32" s="29" t="s">
        <v>255</v>
      </c>
      <c r="L32" s="30">
        <v>6</v>
      </c>
      <c r="M32" s="25"/>
      <c r="N32" s="34" t="s">
        <v>358</v>
      </c>
      <c r="O32" s="32" t="s">
        <v>357</v>
      </c>
      <c r="P32" s="33">
        <v>1</v>
      </c>
      <c r="Q32" s="25"/>
      <c r="R32" s="34" t="s">
        <v>458</v>
      </c>
      <c r="S32" s="32" t="s">
        <v>457</v>
      </c>
      <c r="T32" s="33">
        <v>7</v>
      </c>
      <c r="V32" s="17"/>
      <c r="W32" s="17"/>
      <c r="X32" s="17"/>
      <c r="Y32" s="17"/>
      <c r="Z32" s="17"/>
    </row>
    <row r="33" spans="1:26" ht="12.75" customHeight="1">
      <c r="A33" s="17"/>
      <c r="B33" s="34" t="s">
        <v>68</v>
      </c>
      <c r="C33" s="32" t="s">
        <v>67</v>
      </c>
      <c r="D33" s="33">
        <v>3</v>
      </c>
      <c r="E33" s="25"/>
      <c r="F33" s="31" t="s">
        <v>164</v>
      </c>
      <c r="G33" s="29" t="s">
        <v>163</v>
      </c>
      <c r="H33" s="30">
        <v>4</v>
      </c>
      <c r="I33" s="25"/>
      <c r="J33" s="34" t="s">
        <v>258</v>
      </c>
      <c r="K33" s="32" t="s">
        <v>257</v>
      </c>
      <c r="L33" s="33">
        <v>6</v>
      </c>
      <c r="M33" s="25"/>
      <c r="N33" s="31" t="s">
        <v>360</v>
      </c>
      <c r="O33" s="29" t="s">
        <v>359</v>
      </c>
      <c r="P33" s="30">
        <v>3</v>
      </c>
      <c r="Q33" s="25"/>
      <c r="R33" s="31" t="s">
        <v>460</v>
      </c>
      <c r="S33" s="29" t="s">
        <v>459</v>
      </c>
      <c r="T33" s="30">
        <v>3</v>
      </c>
      <c r="V33" s="17"/>
      <c r="W33" s="17"/>
      <c r="X33" s="17"/>
      <c r="Y33" s="17"/>
      <c r="Z33" s="17"/>
    </row>
    <row r="34" spans="1:26" ht="12.75" customHeight="1">
      <c r="A34" s="17"/>
      <c r="B34" s="31" t="s">
        <v>70</v>
      </c>
      <c r="C34" s="29" t="s">
        <v>69</v>
      </c>
      <c r="D34" s="30">
        <v>3</v>
      </c>
      <c r="E34" s="25"/>
      <c r="F34" s="34" t="s">
        <v>166</v>
      </c>
      <c r="G34" s="32" t="s">
        <v>165</v>
      </c>
      <c r="H34" s="33">
        <v>4</v>
      </c>
      <c r="I34" s="25"/>
      <c r="J34" s="31" t="s">
        <v>260</v>
      </c>
      <c r="K34" s="29" t="s">
        <v>259</v>
      </c>
      <c r="L34" s="30">
        <v>7</v>
      </c>
      <c r="M34" s="25"/>
      <c r="N34" s="33" t="s">
        <v>362</v>
      </c>
      <c r="O34" s="42" t="s">
        <v>361</v>
      </c>
      <c r="P34" s="33">
        <v>5</v>
      </c>
      <c r="Q34" s="25"/>
      <c r="R34" s="34" t="s">
        <v>462</v>
      </c>
      <c r="S34" s="32" t="s">
        <v>461</v>
      </c>
      <c r="T34" s="33">
        <v>7</v>
      </c>
      <c r="V34" s="17"/>
      <c r="W34" s="17"/>
      <c r="X34" s="17"/>
      <c r="Y34" s="17"/>
      <c r="Z34" s="17"/>
    </row>
    <row r="35" spans="1:26" ht="12.75" customHeight="1">
      <c r="A35" s="17"/>
      <c r="B35" s="34" t="s">
        <v>72</v>
      </c>
      <c r="C35" s="32" t="s">
        <v>71</v>
      </c>
      <c r="D35" s="33">
        <v>6</v>
      </c>
      <c r="E35" s="25"/>
      <c r="F35" s="31" t="s">
        <v>542</v>
      </c>
      <c r="G35" s="29" t="s">
        <v>543</v>
      </c>
      <c r="H35" s="30">
        <v>3</v>
      </c>
      <c r="I35" s="25"/>
      <c r="J35" s="34" t="s">
        <v>262</v>
      </c>
      <c r="K35" s="32" t="s">
        <v>261</v>
      </c>
      <c r="L35" s="33">
        <v>7</v>
      </c>
      <c r="M35" s="25"/>
      <c r="N35" s="47" t="s">
        <v>364</v>
      </c>
      <c r="O35" s="46" t="s">
        <v>363</v>
      </c>
      <c r="P35" s="45">
        <v>6</v>
      </c>
      <c r="Q35" s="25"/>
      <c r="R35" s="31" t="s">
        <v>464</v>
      </c>
      <c r="S35" s="29" t="s">
        <v>463</v>
      </c>
      <c r="T35" s="30">
        <v>6</v>
      </c>
      <c r="V35" s="17"/>
      <c r="W35" s="17"/>
      <c r="X35" s="17"/>
      <c r="Y35" s="17"/>
      <c r="Z35" s="17"/>
    </row>
    <row r="36" spans="1:26" ht="12.75" customHeight="1">
      <c r="A36" s="17"/>
      <c r="B36" s="31" t="s">
        <v>74</v>
      </c>
      <c r="C36" s="29" t="s">
        <v>73</v>
      </c>
      <c r="D36" s="30">
        <v>7</v>
      </c>
      <c r="E36" s="25"/>
      <c r="F36" s="34" t="s">
        <v>168</v>
      </c>
      <c r="G36" s="32" t="s">
        <v>167</v>
      </c>
      <c r="H36" s="33">
        <v>7</v>
      </c>
      <c r="I36" s="25"/>
      <c r="J36" s="31" t="s">
        <v>264</v>
      </c>
      <c r="K36" s="29" t="s">
        <v>263</v>
      </c>
      <c r="L36" s="30">
        <v>7</v>
      </c>
      <c r="M36" s="25"/>
      <c r="N36" s="34" t="s">
        <v>366</v>
      </c>
      <c r="O36" s="32" t="s">
        <v>365</v>
      </c>
      <c r="P36" s="33">
        <v>4</v>
      </c>
      <c r="Q36" s="25"/>
      <c r="R36" s="34" t="s">
        <v>466</v>
      </c>
      <c r="S36" s="32" t="s">
        <v>465</v>
      </c>
      <c r="T36" s="33">
        <v>7</v>
      </c>
      <c r="V36" s="17"/>
      <c r="W36" s="17"/>
      <c r="X36" s="17"/>
      <c r="Y36" s="17"/>
      <c r="Z36" s="17"/>
    </row>
    <row r="37" spans="1:26" ht="12.75" customHeight="1">
      <c r="A37" s="17"/>
      <c r="B37" s="34" t="s">
        <v>76</v>
      </c>
      <c r="C37" s="32" t="s">
        <v>75</v>
      </c>
      <c r="D37" s="33">
        <v>0</v>
      </c>
      <c r="E37" s="25"/>
      <c r="F37" s="92" t="s">
        <v>544</v>
      </c>
      <c r="G37" s="22" t="s">
        <v>17</v>
      </c>
      <c r="H37" s="93"/>
      <c r="I37" s="25"/>
      <c r="J37" s="34" t="s">
        <v>266</v>
      </c>
      <c r="K37" s="32" t="s">
        <v>265</v>
      </c>
      <c r="L37" s="33">
        <v>4</v>
      </c>
      <c r="M37" s="25"/>
      <c r="N37" s="47" t="s">
        <v>368</v>
      </c>
      <c r="O37" s="46" t="s">
        <v>367</v>
      </c>
      <c r="P37" s="45">
        <v>3</v>
      </c>
      <c r="Q37" s="25"/>
      <c r="R37" s="31" t="s">
        <v>468</v>
      </c>
      <c r="S37" s="29" t="s">
        <v>467</v>
      </c>
      <c r="T37" s="30">
        <v>3</v>
      </c>
      <c r="V37" s="17"/>
      <c r="W37" s="17"/>
      <c r="X37" s="17"/>
      <c r="Y37" s="17"/>
      <c r="Z37" s="17"/>
    </row>
    <row r="38" spans="1:26" ht="12.75" customHeight="1">
      <c r="A38" s="17"/>
      <c r="B38" s="31" t="s">
        <v>78</v>
      </c>
      <c r="C38" s="29" t="s">
        <v>77</v>
      </c>
      <c r="D38" s="30">
        <v>6</v>
      </c>
      <c r="E38" s="25"/>
      <c r="F38" s="31" t="s">
        <v>170</v>
      </c>
      <c r="G38" s="29" t="s">
        <v>169</v>
      </c>
      <c r="H38" s="30">
        <v>7</v>
      </c>
      <c r="I38" s="25"/>
      <c r="J38" s="31" t="s">
        <v>268</v>
      </c>
      <c r="K38" s="29" t="s">
        <v>267</v>
      </c>
      <c r="L38" s="30">
        <v>6</v>
      </c>
      <c r="M38" s="25"/>
      <c r="N38" s="92" t="s">
        <v>545</v>
      </c>
      <c r="O38" s="22" t="s">
        <v>17</v>
      </c>
      <c r="P38" s="93"/>
      <c r="Q38" s="25"/>
      <c r="R38" s="34" t="s">
        <v>26</v>
      </c>
      <c r="S38" s="32" t="s">
        <v>469</v>
      </c>
      <c r="T38" s="33">
        <v>7</v>
      </c>
      <c r="V38" s="17"/>
      <c r="W38" s="17"/>
      <c r="X38" s="17"/>
      <c r="Y38" s="17"/>
      <c r="Z38" s="17"/>
    </row>
    <row r="39" spans="1:26" ht="12.75" customHeight="1">
      <c r="A39" s="17"/>
      <c r="B39" s="34" t="s">
        <v>80</v>
      </c>
      <c r="C39" s="32" t="s">
        <v>79</v>
      </c>
      <c r="D39" s="33">
        <v>6</v>
      </c>
      <c r="E39" s="25"/>
      <c r="F39" s="34" t="s">
        <v>172</v>
      </c>
      <c r="G39" s="32" t="s">
        <v>171</v>
      </c>
      <c r="H39" s="33">
        <v>7</v>
      </c>
      <c r="I39" s="25"/>
      <c r="J39" s="34" t="s">
        <v>42</v>
      </c>
      <c r="K39" s="32" t="s">
        <v>269</v>
      </c>
      <c r="L39" s="33">
        <v>6</v>
      </c>
      <c r="M39" s="25"/>
      <c r="N39" s="31" t="s">
        <v>370</v>
      </c>
      <c r="O39" s="29" t="s">
        <v>369</v>
      </c>
      <c r="P39" s="30">
        <v>6</v>
      </c>
      <c r="Q39" s="25"/>
      <c r="R39" s="31" t="s">
        <v>471</v>
      </c>
      <c r="S39" s="29" t="s">
        <v>470</v>
      </c>
      <c r="T39" s="30">
        <v>7</v>
      </c>
      <c r="V39" s="17"/>
      <c r="W39" s="17"/>
      <c r="X39" s="17"/>
      <c r="Y39" s="17"/>
      <c r="Z39" s="17"/>
    </row>
    <row r="40" spans="1:26" ht="12.75" customHeight="1">
      <c r="A40" s="17"/>
      <c r="B40" s="31" t="s">
        <v>82</v>
      </c>
      <c r="C40" s="29" t="s">
        <v>81</v>
      </c>
      <c r="D40" s="30">
        <v>7</v>
      </c>
      <c r="E40" s="25"/>
      <c r="F40" s="31" t="s">
        <v>174</v>
      </c>
      <c r="G40" s="29" t="s">
        <v>173</v>
      </c>
      <c r="H40" s="30">
        <v>6</v>
      </c>
      <c r="I40" s="25"/>
      <c r="J40" s="38" t="s">
        <v>271</v>
      </c>
      <c r="K40" s="36" t="s">
        <v>270</v>
      </c>
      <c r="L40" s="37">
        <v>4</v>
      </c>
      <c r="M40" s="25"/>
      <c r="N40" s="92" t="s">
        <v>546</v>
      </c>
      <c r="O40" s="22" t="s">
        <v>17</v>
      </c>
      <c r="P40" s="93"/>
      <c r="Q40" s="25"/>
      <c r="R40" s="92" t="s">
        <v>547</v>
      </c>
      <c r="S40" s="22" t="s">
        <v>17</v>
      </c>
      <c r="T40" s="93"/>
      <c r="V40" s="17"/>
      <c r="W40" s="17"/>
      <c r="X40" s="17"/>
      <c r="Y40" s="17"/>
      <c r="Z40" s="17"/>
    </row>
    <row r="41" spans="1:26" ht="12.75" customHeight="1">
      <c r="A41" s="17"/>
      <c r="B41" s="34" t="s">
        <v>84</v>
      </c>
      <c r="C41" s="32" t="s">
        <v>83</v>
      </c>
      <c r="D41" s="33">
        <v>7</v>
      </c>
      <c r="E41" s="25"/>
      <c r="F41" s="34" t="s">
        <v>176</v>
      </c>
      <c r="G41" s="32" t="s">
        <v>175</v>
      </c>
      <c r="H41" s="33">
        <v>4</v>
      </c>
      <c r="I41" s="25"/>
      <c r="J41" s="92" t="s">
        <v>522</v>
      </c>
      <c r="K41" s="22" t="s">
        <v>17</v>
      </c>
      <c r="L41" s="93"/>
      <c r="M41" s="25"/>
      <c r="N41" s="34" t="s">
        <v>372</v>
      </c>
      <c r="O41" s="32" t="s">
        <v>371</v>
      </c>
      <c r="P41" s="33">
        <v>7</v>
      </c>
      <c r="Q41" s="25"/>
      <c r="R41" s="34" t="s">
        <v>473</v>
      </c>
      <c r="S41" s="32" t="s">
        <v>472</v>
      </c>
      <c r="T41" s="33">
        <v>7</v>
      </c>
      <c r="V41" s="17"/>
      <c r="W41" s="17"/>
      <c r="X41" s="17"/>
      <c r="Y41" s="17"/>
      <c r="Z41" s="17"/>
    </row>
    <row r="42" spans="1:26" ht="12.75" customHeight="1">
      <c r="A42" s="17"/>
      <c r="B42" s="31" t="s">
        <v>86</v>
      </c>
      <c r="C42" s="29" t="s">
        <v>85</v>
      </c>
      <c r="D42" s="30">
        <v>7</v>
      </c>
      <c r="E42" s="25"/>
      <c r="F42" s="31" t="s">
        <v>178</v>
      </c>
      <c r="G42" s="29" t="s">
        <v>177</v>
      </c>
      <c r="H42" s="30">
        <v>7</v>
      </c>
      <c r="I42" s="25"/>
      <c r="J42" s="34" t="s">
        <v>273</v>
      </c>
      <c r="K42" s="32" t="s">
        <v>272</v>
      </c>
      <c r="L42" s="33">
        <v>5</v>
      </c>
      <c r="M42" s="25"/>
      <c r="N42" s="31" t="s">
        <v>374</v>
      </c>
      <c r="O42" s="29" t="s">
        <v>373</v>
      </c>
      <c r="P42" s="30">
        <v>6</v>
      </c>
      <c r="Q42" s="25"/>
      <c r="R42" s="31" t="s">
        <v>475</v>
      </c>
      <c r="S42" s="29" t="s">
        <v>474</v>
      </c>
      <c r="T42" s="30">
        <v>6</v>
      </c>
      <c r="V42" s="17"/>
      <c r="W42" s="17"/>
      <c r="X42" s="17"/>
      <c r="Y42" s="17"/>
      <c r="Z42" s="17"/>
    </row>
    <row r="43" spans="1:26" ht="12.75" customHeight="1">
      <c r="A43" s="17"/>
      <c r="B43" s="92" t="s">
        <v>520</v>
      </c>
      <c r="C43" s="22" t="s">
        <v>17</v>
      </c>
      <c r="D43" s="93"/>
      <c r="E43" s="25"/>
      <c r="F43" s="34" t="s">
        <v>180</v>
      </c>
      <c r="G43" s="32" t="s">
        <v>179</v>
      </c>
      <c r="H43" s="33">
        <v>4</v>
      </c>
      <c r="I43" s="25"/>
      <c r="J43" s="30" t="s">
        <v>275</v>
      </c>
      <c r="K43" s="43" t="s">
        <v>274</v>
      </c>
      <c r="L43" s="30">
        <v>6</v>
      </c>
      <c r="M43" s="25"/>
      <c r="N43" s="34" t="s">
        <v>96</v>
      </c>
      <c r="O43" s="32" t="s">
        <v>375</v>
      </c>
      <c r="P43" s="33">
        <v>7</v>
      </c>
      <c r="Q43" s="25"/>
      <c r="R43" s="34" t="s">
        <v>150</v>
      </c>
      <c r="S43" s="32" t="s">
        <v>476</v>
      </c>
      <c r="T43" s="33">
        <v>4</v>
      </c>
      <c r="V43" s="17"/>
      <c r="W43" s="17"/>
      <c r="X43" s="17"/>
      <c r="Y43" s="17"/>
      <c r="Z43" s="17"/>
    </row>
    <row r="44" spans="1:26" ht="12.75" customHeight="1">
      <c r="A44" s="17"/>
      <c r="B44" s="34" t="s">
        <v>548</v>
      </c>
      <c r="C44" s="32" t="s">
        <v>549</v>
      </c>
      <c r="D44" s="33">
        <v>6</v>
      </c>
      <c r="E44" s="25"/>
      <c r="F44" s="31" t="s">
        <v>150</v>
      </c>
      <c r="G44" s="29" t="s">
        <v>550</v>
      </c>
      <c r="H44" s="30">
        <v>4</v>
      </c>
      <c r="I44" s="25"/>
      <c r="J44" s="34" t="s">
        <v>277</v>
      </c>
      <c r="K44" s="32" t="s">
        <v>276</v>
      </c>
      <c r="L44" s="33">
        <v>7</v>
      </c>
      <c r="M44" s="25"/>
      <c r="N44" s="31" t="s">
        <v>377</v>
      </c>
      <c r="O44" s="29" t="s">
        <v>376</v>
      </c>
      <c r="P44" s="30">
        <v>6</v>
      </c>
      <c r="Q44" s="25"/>
      <c r="R44" s="31" t="s">
        <v>478</v>
      </c>
      <c r="S44" s="29" t="s">
        <v>477</v>
      </c>
      <c r="T44" s="30">
        <v>6</v>
      </c>
      <c r="V44" s="17"/>
      <c r="W44" s="17"/>
      <c r="X44" s="17"/>
      <c r="Y44" s="17"/>
      <c r="Z44" s="17"/>
    </row>
    <row r="45" spans="1:26" ht="12.75" customHeight="1">
      <c r="A45" s="17"/>
      <c r="B45" s="31" t="s">
        <v>88</v>
      </c>
      <c r="C45" s="29" t="s">
        <v>87</v>
      </c>
      <c r="D45" s="30">
        <v>7</v>
      </c>
      <c r="E45" s="25"/>
      <c r="F45" s="34" t="s">
        <v>182</v>
      </c>
      <c r="G45" s="32" t="s">
        <v>181</v>
      </c>
      <c r="H45" s="33">
        <v>6</v>
      </c>
      <c r="I45" s="25"/>
      <c r="J45" s="31" t="s">
        <v>140</v>
      </c>
      <c r="K45" s="29" t="s">
        <v>278</v>
      </c>
      <c r="L45" s="30">
        <v>7</v>
      </c>
      <c r="M45" s="25"/>
      <c r="N45" s="34" t="s">
        <v>379</v>
      </c>
      <c r="O45" s="32" t="s">
        <v>378</v>
      </c>
      <c r="P45" s="33">
        <v>7</v>
      </c>
      <c r="Q45" s="25"/>
      <c r="R45" s="34" t="s">
        <v>150</v>
      </c>
      <c r="S45" s="32" t="s">
        <v>479</v>
      </c>
      <c r="T45" s="33">
        <v>4</v>
      </c>
      <c r="V45" s="17"/>
      <c r="W45" s="17"/>
      <c r="X45" s="17"/>
      <c r="Y45" s="17"/>
      <c r="Z45" s="17"/>
    </row>
    <row r="46" spans="1:26" ht="12.75" customHeight="1">
      <c r="A46" s="17"/>
      <c r="B46" s="34" t="s">
        <v>90</v>
      </c>
      <c r="C46" s="32" t="s">
        <v>89</v>
      </c>
      <c r="D46" s="33">
        <v>2</v>
      </c>
      <c r="E46" s="25"/>
      <c r="F46" s="31" t="s">
        <v>184</v>
      </c>
      <c r="G46" s="29" t="s">
        <v>183</v>
      </c>
      <c r="H46" s="30">
        <v>6</v>
      </c>
      <c r="I46" s="25"/>
      <c r="J46" s="34" t="s">
        <v>280</v>
      </c>
      <c r="K46" s="32" t="s">
        <v>279</v>
      </c>
      <c r="L46" s="33">
        <v>7</v>
      </c>
      <c r="M46" s="25"/>
      <c r="N46" s="92" t="s">
        <v>523</v>
      </c>
      <c r="O46" s="22" t="s">
        <v>524</v>
      </c>
      <c r="P46" s="93"/>
      <c r="Q46" s="25"/>
      <c r="R46" s="31" t="s">
        <v>481</v>
      </c>
      <c r="S46" s="29" t="s">
        <v>480</v>
      </c>
      <c r="T46" s="30">
        <v>2</v>
      </c>
      <c r="V46" s="17"/>
      <c r="W46" s="17"/>
      <c r="X46" s="17"/>
      <c r="Y46" s="17"/>
      <c r="Z46" s="17"/>
    </row>
    <row r="47" spans="1:26" ht="12.75" customHeight="1">
      <c r="A47" s="17"/>
      <c r="B47" s="31" t="s">
        <v>92</v>
      </c>
      <c r="C47" s="29" t="s">
        <v>91</v>
      </c>
      <c r="D47" s="30">
        <v>7</v>
      </c>
      <c r="E47" s="25"/>
      <c r="F47" s="34" t="s">
        <v>186</v>
      </c>
      <c r="G47" s="32" t="s">
        <v>185</v>
      </c>
      <c r="H47" s="33">
        <v>3</v>
      </c>
      <c r="I47" s="25"/>
      <c r="J47" s="31" t="s">
        <v>282</v>
      </c>
      <c r="K47" s="29" t="s">
        <v>281</v>
      </c>
      <c r="L47" s="30">
        <v>5</v>
      </c>
      <c r="M47" s="25"/>
      <c r="N47" s="31" t="s">
        <v>381</v>
      </c>
      <c r="O47" s="29" t="s">
        <v>380</v>
      </c>
      <c r="P47" s="30">
        <v>7</v>
      </c>
      <c r="Q47" s="25"/>
      <c r="R47" s="34" t="s">
        <v>483</v>
      </c>
      <c r="S47" s="32" t="s">
        <v>482</v>
      </c>
      <c r="T47" s="33">
        <v>1</v>
      </c>
      <c r="V47" s="17"/>
      <c r="W47" s="17"/>
      <c r="X47" s="17"/>
      <c r="Y47" s="17"/>
      <c r="Z47" s="17"/>
    </row>
    <row r="48" spans="1:26" ht="12.75" customHeight="1">
      <c r="A48" s="17"/>
      <c r="B48" s="34" t="s">
        <v>94</v>
      </c>
      <c r="C48" s="32" t="s">
        <v>93</v>
      </c>
      <c r="D48" s="33">
        <v>7</v>
      </c>
      <c r="E48" s="25"/>
      <c r="F48" s="31" t="s">
        <v>188</v>
      </c>
      <c r="G48" s="29" t="s">
        <v>187</v>
      </c>
      <c r="H48" s="30">
        <v>3</v>
      </c>
      <c r="I48" s="25"/>
      <c r="J48" s="34" t="s">
        <v>284</v>
      </c>
      <c r="K48" s="32" t="s">
        <v>283</v>
      </c>
      <c r="L48" s="33">
        <v>7</v>
      </c>
      <c r="M48" s="25"/>
      <c r="N48" s="34" t="s">
        <v>344</v>
      </c>
      <c r="O48" s="32" t="s">
        <v>382</v>
      </c>
      <c r="P48" s="33">
        <v>7</v>
      </c>
      <c r="Q48" s="25"/>
      <c r="R48" s="31" t="s">
        <v>485</v>
      </c>
      <c r="S48" s="29" t="s">
        <v>484</v>
      </c>
      <c r="T48" s="30">
        <v>6</v>
      </c>
      <c r="V48" s="17"/>
      <c r="W48" s="17"/>
      <c r="X48" s="17"/>
      <c r="Y48" s="17"/>
      <c r="Z48" s="17"/>
    </row>
    <row r="49" spans="1:26" ht="12.75" customHeight="1">
      <c r="A49" s="17"/>
      <c r="B49" s="31" t="s">
        <v>96</v>
      </c>
      <c r="C49" s="29" t="s">
        <v>95</v>
      </c>
      <c r="D49" s="30">
        <v>7</v>
      </c>
      <c r="E49" s="25"/>
      <c r="F49" s="34" t="s">
        <v>96</v>
      </c>
      <c r="G49" s="32" t="s">
        <v>189</v>
      </c>
      <c r="H49" s="33">
        <v>7</v>
      </c>
      <c r="I49" s="25"/>
      <c r="J49" s="31" t="s">
        <v>286</v>
      </c>
      <c r="K49" s="29" t="s">
        <v>285</v>
      </c>
      <c r="L49" s="30">
        <v>7</v>
      </c>
      <c r="M49" s="25"/>
      <c r="N49" s="31" t="s">
        <v>384</v>
      </c>
      <c r="O49" s="29" t="s">
        <v>383</v>
      </c>
      <c r="P49" s="30">
        <v>7</v>
      </c>
      <c r="Q49" s="25"/>
      <c r="R49" s="92" t="s">
        <v>551</v>
      </c>
      <c r="S49" s="22" t="s">
        <v>17</v>
      </c>
      <c r="T49" s="93"/>
      <c r="V49" s="17"/>
      <c r="W49" s="17"/>
      <c r="X49" s="17"/>
      <c r="Y49" s="17"/>
      <c r="Z49" s="17"/>
    </row>
    <row r="50" spans="1:26" ht="12.75" customHeight="1">
      <c r="A50" s="17"/>
      <c r="B50" s="34" t="s">
        <v>98</v>
      </c>
      <c r="C50" s="32" t="s">
        <v>97</v>
      </c>
      <c r="D50" s="33">
        <v>3</v>
      </c>
      <c r="E50" s="25"/>
      <c r="F50" s="31" t="s">
        <v>191</v>
      </c>
      <c r="G50" s="29" t="s">
        <v>190</v>
      </c>
      <c r="H50" s="30">
        <v>3</v>
      </c>
      <c r="I50" s="25"/>
      <c r="J50" s="34" t="s">
        <v>288</v>
      </c>
      <c r="K50" s="32" t="s">
        <v>287</v>
      </c>
      <c r="L50" s="33">
        <v>4</v>
      </c>
      <c r="M50" s="25"/>
      <c r="N50" s="34" t="s">
        <v>386</v>
      </c>
      <c r="O50" s="32" t="s">
        <v>385</v>
      </c>
      <c r="P50" s="33">
        <v>4</v>
      </c>
      <c r="Q50" s="25"/>
      <c r="R50" s="34" t="s">
        <v>487</v>
      </c>
      <c r="S50" s="32" t="s">
        <v>486</v>
      </c>
      <c r="T50" s="33">
        <v>7</v>
      </c>
      <c r="V50" s="17"/>
      <c r="W50" s="17"/>
      <c r="X50" s="17"/>
      <c r="Y50" s="17"/>
      <c r="Z50" s="17"/>
    </row>
    <row r="51" spans="1:26" ht="12.75" customHeight="1">
      <c r="A51" s="17"/>
      <c r="B51" s="31" t="s">
        <v>100</v>
      </c>
      <c r="C51" s="29" t="s">
        <v>99</v>
      </c>
      <c r="D51" s="30">
        <v>7</v>
      </c>
      <c r="E51" s="25"/>
      <c r="F51" s="34" t="s">
        <v>193</v>
      </c>
      <c r="G51" s="32" t="s">
        <v>192</v>
      </c>
      <c r="H51" s="33">
        <v>6</v>
      </c>
      <c r="I51" s="25"/>
      <c r="J51" s="31" t="s">
        <v>26</v>
      </c>
      <c r="K51" s="29" t="s">
        <v>289</v>
      </c>
      <c r="L51" s="30">
        <v>7</v>
      </c>
      <c r="M51" s="25"/>
      <c r="N51" s="31" t="s">
        <v>388</v>
      </c>
      <c r="O51" s="29" t="s">
        <v>387</v>
      </c>
      <c r="P51" s="30">
        <v>7</v>
      </c>
      <c r="Q51" s="25"/>
      <c r="R51" s="31" t="s">
        <v>489</v>
      </c>
      <c r="S51" s="29" t="s">
        <v>488</v>
      </c>
      <c r="T51" s="30">
        <v>3</v>
      </c>
      <c r="V51" s="17"/>
      <c r="W51" s="17"/>
      <c r="X51" s="17"/>
      <c r="Y51" s="17"/>
      <c r="Z51" s="17"/>
    </row>
    <row r="52" spans="1:26" ht="12.75" customHeight="1">
      <c r="A52" s="17"/>
      <c r="B52" s="34" t="s">
        <v>102</v>
      </c>
      <c r="C52" s="32" t="s">
        <v>101</v>
      </c>
      <c r="D52" s="33">
        <v>7</v>
      </c>
      <c r="E52" s="25"/>
      <c r="F52" s="31" t="s">
        <v>195</v>
      </c>
      <c r="G52" s="29" t="s">
        <v>194</v>
      </c>
      <c r="H52" s="30">
        <v>7</v>
      </c>
      <c r="I52" s="25"/>
      <c r="J52" s="34" t="s">
        <v>140</v>
      </c>
      <c r="K52" s="32" t="s">
        <v>290</v>
      </c>
      <c r="L52" s="33">
        <v>7</v>
      </c>
      <c r="M52" s="25"/>
      <c r="N52" s="34" t="s">
        <v>390</v>
      </c>
      <c r="O52" s="32" t="s">
        <v>389</v>
      </c>
      <c r="P52" s="33">
        <v>6</v>
      </c>
      <c r="Q52" s="25"/>
      <c r="R52" s="34" t="s">
        <v>491</v>
      </c>
      <c r="S52" s="32" t="s">
        <v>490</v>
      </c>
      <c r="T52" s="33">
        <v>6</v>
      </c>
      <c r="V52" s="17"/>
      <c r="W52" s="17"/>
      <c r="X52" s="17"/>
      <c r="Y52" s="17"/>
      <c r="Z52" s="17"/>
    </row>
    <row r="53" spans="1:26" ht="12.75" customHeight="1">
      <c r="A53" s="17"/>
      <c r="B53" s="31" t="s">
        <v>103</v>
      </c>
      <c r="C53" s="29" t="s">
        <v>11</v>
      </c>
      <c r="D53" s="30">
        <v>1</v>
      </c>
      <c r="E53" s="25"/>
      <c r="F53" s="34" t="s">
        <v>197</v>
      </c>
      <c r="G53" s="32" t="s">
        <v>196</v>
      </c>
      <c r="H53" s="33">
        <v>7</v>
      </c>
      <c r="I53" s="25"/>
      <c r="J53" s="31" t="s">
        <v>292</v>
      </c>
      <c r="K53" s="29" t="s">
        <v>291</v>
      </c>
      <c r="L53" s="30">
        <v>3</v>
      </c>
      <c r="M53" s="25"/>
      <c r="N53" s="31" t="s">
        <v>150</v>
      </c>
      <c r="O53" s="29" t="s">
        <v>391</v>
      </c>
      <c r="P53" s="30">
        <v>4</v>
      </c>
      <c r="Q53" s="25"/>
      <c r="R53" s="31" t="s">
        <v>493</v>
      </c>
      <c r="S53" s="29" t="s">
        <v>492</v>
      </c>
      <c r="T53" s="30">
        <v>3</v>
      </c>
      <c r="V53" s="17"/>
      <c r="W53" s="17"/>
      <c r="X53" s="17"/>
      <c r="Y53" s="17"/>
      <c r="Z53" s="17"/>
    </row>
    <row r="54" spans="1:26" ht="12.75" customHeight="1">
      <c r="A54" s="17"/>
      <c r="B54" s="34" t="s">
        <v>105</v>
      </c>
      <c r="C54" s="32" t="s">
        <v>104</v>
      </c>
      <c r="D54" s="33">
        <v>5</v>
      </c>
      <c r="E54" s="25"/>
      <c r="F54" s="31" t="s">
        <v>148</v>
      </c>
      <c r="G54" s="29" t="s">
        <v>198</v>
      </c>
      <c r="H54" s="30">
        <v>7</v>
      </c>
      <c r="I54" s="25"/>
      <c r="J54" s="34" t="s">
        <v>294</v>
      </c>
      <c r="K54" s="32" t="s">
        <v>293</v>
      </c>
      <c r="L54" s="33">
        <v>7</v>
      </c>
      <c r="M54" s="25"/>
      <c r="N54" s="34" t="s">
        <v>393</v>
      </c>
      <c r="O54" s="32" t="s">
        <v>392</v>
      </c>
      <c r="P54" s="33">
        <v>7</v>
      </c>
      <c r="Q54" s="25"/>
      <c r="R54" s="34" t="s">
        <v>418</v>
      </c>
      <c r="S54" s="32" t="s">
        <v>494</v>
      </c>
      <c r="T54" s="33">
        <v>3</v>
      </c>
      <c r="V54" s="17"/>
      <c r="W54" s="17"/>
      <c r="X54" s="17"/>
      <c r="Y54" s="17"/>
      <c r="Z54" s="17"/>
    </row>
    <row r="55" spans="1:26" ht="12.75" customHeight="1">
      <c r="A55" s="17"/>
      <c r="B55" s="31" t="s">
        <v>42</v>
      </c>
      <c r="C55" s="29" t="s">
        <v>106</v>
      </c>
      <c r="D55" s="30">
        <v>6</v>
      </c>
      <c r="E55" s="25"/>
      <c r="F55" s="34" t="s">
        <v>200</v>
      </c>
      <c r="G55" s="32" t="s">
        <v>199</v>
      </c>
      <c r="H55" s="33">
        <v>3</v>
      </c>
      <c r="I55" s="25"/>
      <c r="J55" s="31" t="s">
        <v>296</v>
      </c>
      <c r="K55" s="29" t="s">
        <v>295</v>
      </c>
      <c r="L55" s="30">
        <v>7</v>
      </c>
      <c r="M55" s="25"/>
      <c r="N55" s="31" t="s">
        <v>395</v>
      </c>
      <c r="O55" s="29" t="s">
        <v>394</v>
      </c>
      <c r="P55" s="30">
        <v>6</v>
      </c>
      <c r="Q55" s="25"/>
      <c r="R55" s="92" t="s">
        <v>552</v>
      </c>
      <c r="S55" s="22" t="s">
        <v>17</v>
      </c>
      <c r="T55" s="93"/>
      <c r="V55" s="17"/>
      <c r="W55" s="17"/>
      <c r="X55" s="17"/>
      <c r="Y55" s="17"/>
      <c r="Z55" s="17"/>
    </row>
    <row r="56" spans="1:26" ht="12.75" customHeight="1">
      <c r="A56" s="17"/>
      <c r="B56" s="34" t="s">
        <v>42</v>
      </c>
      <c r="C56" s="32" t="s">
        <v>107</v>
      </c>
      <c r="D56" s="33">
        <v>6</v>
      </c>
      <c r="E56" s="25"/>
      <c r="F56" s="92" t="s">
        <v>553</v>
      </c>
      <c r="G56" s="22" t="s">
        <v>17</v>
      </c>
      <c r="H56" s="93"/>
      <c r="I56" s="25"/>
      <c r="J56" s="34" t="s">
        <v>298</v>
      </c>
      <c r="K56" s="32" t="s">
        <v>297</v>
      </c>
      <c r="L56" s="33">
        <v>7</v>
      </c>
      <c r="M56" s="25"/>
      <c r="N56" s="34" t="s">
        <v>397</v>
      </c>
      <c r="O56" s="32" t="s">
        <v>396</v>
      </c>
      <c r="P56" s="33">
        <v>7</v>
      </c>
      <c r="Q56" s="25"/>
      <c r="R56" s="30" t="s">
        <v>150</v>
      </c>
      <c r="S56" s="43" t="s">
        <v>495</v>
      </c>
      <c r="T56" s="30">
        <v>4</v>
      </c>
      <c r="V56" s="17"/>
      <c r="W56" s="17"/>
      <c r="X56" s="17"/>
      <c r="Y56" s="17"/>
      <c r="Z56" s="17"/>
    </row>
    <row r="57" spans="1:26" ht="12.75" customHeight="1">
      <c r="A57" s="17"/>
      <c r="B57" s="31" t="s">
        <v>109</v>
      </c>
      <c r="C57" s="29" t="s">
        <v>108</v>
      </c>
      <c r="D57" s="30">
        <v>3</v>
      </c>
      <c r="E57" s="25"/>
      <c r="F57" s="31" t="s">
        <v>202</v>
      </c>
      <c r="G57" s="29" t="s">
        <v>201</v>
      </c>
      <c r="H57" s="30">
        <v>3</v>
      </c>
      <c r="I57" s="25"/>
      <c r="J57" s="31" t="s">
        <v>300</v>
      </c>
      <c r="K57" s="29" t="s">
        <v>299</v>
      </c>
      <c r="L57" s="30">
        <v>2</v>
      </c>
      <c r="M57" s="25"/>
      <c r="N57" s="31" t="s">
        <v>399</v>
      </c>
      <c r="O57" s="29" t="s">
        <v>398</v>
      </c>
      <c r="P57" s="30">
        <v>7</v>
      </c>
      <c r="Q57" s="25"/>
      <c r="R57" s="33" t="s">
        <v>162</v>
      </c>
      <c r="S57" s="42" t="s">
        <v>496</v>
      </c>
      <c r="T57" s="33">
        <v>7</v>
      </c>
      <c r="V57" s="17"/>
      <c r="W57" s="17"/>
      <c r="X57" s="17"/>
      <c r="Y57" s="17"/>
      <c r="Z57" s="17"/>
    </row>
    <row r="58" spans="1:26" ht="12.75" customHeight="1">
      <c r="A58" s="17"/>
      <c r="B58" s="34" t="s">
        <v>111</v>
      </c>
      <c r="C58" s="32" t="s">
        <v>110</v>
      </c>
      <c r="D58" s="33">
        <v>7</v>
      </c>
      <c r="E58" s="25"/>
      <c r="F58" s="34" t="s">
        <v>204</v>
      </c>
      <c r="G58" s="32" t="s">
        <v>203</v>
      </c>
      <c r="H58" s="33">
        <v>3</v>
      </c>
      <c r="I58" s="25"/>
      <c r="J58" s="34" t="s">
        <v>302</v>
      </c>
      <c r="K58" s="32" t="s">
        <v>301</v>
      </c>
      <c r="L58" s="33">
        <v>7</v>
      </c>
      <c r="M58" s="25"/>
      <c r="N58" s="34" t="s">
        <v>401</v>
      </c>
      <c r="O58" s="32" t="s">
        <v>400</v>
      </c>
      <c r="P58" s="33">
        <v>5</v>
      </c>
      <c r="Q58" s="25"/>
      <c r="R58" s="30" t="s">
        <v>384</v>
      </c>
      <c r="S58" s="43" t="s">
        <v>497</v>
      </c>
      <c r="T58" s="30">
        <v>7</v>
      </c>
      <c r="V58" s="17"/>
      <c r="W58" s="17"/>
      <c r="X58" s="17"/>
      <c r="Y58" s="17"/>
      <c r="Z58" s="17"/>
    </row>
    <row r="59" spans="1:26" ht="12.75" customHeight="1">
      <c r="A59" s="17"/>
      <c r="B59" s="31" t="s">
        <v>113</v>
      </c>
      <c r="C59" s="29" t="s">
        <v>112</v>
      </c>
      <c r="D59" s="30">
        <v>7</v>
      </c>
      <c r="E59" s="25"/>
      <c r="F59" s="31" t="s">
        <v>206</v>
      </c>
      <c r="G59" s="29" t="s">
        <v>205</v>
      </c>
      <c r="H59" s="30">
        <v>5</v>
      </c>
      <c r="I59" s="25"/>
      <c r="J59" s="31" t="s">
        <v>304</v>
      </c>
      <c r="K59" s="29" t="s">
        <v>303</v>
      </c>
      <c r="L59" s="30">
        <v>6</v>
      </c>
      <c r="M59" s="25"/>
      <c r="N59" s="31" t="s">
        <v>403</v>
      </c>
      <c r="O59" s="29" t="s">
        <v>402</v>
      </c>
      <c r="P59" s="30">
        <v>6</v>
      </c>
      <c r="Q59" s="25"/>
      <c r="R59" s="92" t="s">
        <v>554</v>
      </c>
      <c r="S59" s="22" t="s">
        <v>17</v>
      </c>
      <c r="T59" s="93"/>
      <c r="V59" s="17"/>
      <c r="W59" s="17"/>
      <c r="X59" s="17"/>
      <c r="Y59" s="17"/>
      <c r="Z59" s="17"/>
    </row>
    <row r="60" spans="1:26" ht="12.75" customHeight="1">
      <c r="A60" s="17"/>
      <c r="B60" s="34" t="s">
        <v>115</v>
      </c>
      <c r="C60" s="32" t="s">
        <v>114</v>
      </c>
      <c r="D60" s="33">
        <v>7</v>
      </c>
      <c r="E60" s="25"/>
      <c r="F60" s="34" t="s">
        <v>208</v>
      </c>
      <c r="G60" s="32" t="s">
        <v>207</v>
      </c>
      <c r="H60" s="33">
        <v>6</v>
      </c>
      <c r="I60" s="25"/>
      <c r="J60" s="34" t="s">
        <v>306</v>
      </c>
      <c r="K60" s="32" t="s">
        <v>305</v>
      </c>
      <c r="L60" s="33">
        <v>4</v>
      </c>
      <c r="M60" s="25"/>
      <c r="N60" s="34" t="s">
        <v>405</v>
      </c>
      <c r="O60" s="32" t="s">
        <v>404</v>
      </c>
      <c r="P60" s="33">
        <v>6</v>
      </c>
      <c r="Q60" s="25"/>
      <c r="R60" s="92" t="s">
        <v>555</v>
      </c>
      <c r="S60" s="22" t="s">
        <v>17</v>
      </c>
      <c r="T60" s="93"/>
      <c r="V60" s="17"/>
      <c r="W60" s="17"/>
      <c r="X60" s="17"/>
      <c r="Y60" s="17"/>
      <c r="Z60" s="17"/>
    </row>
    <row r="61" spans="1:26" ht="12.75" customHeight="1">
      <c r="A61" s="17"/>
      <c r="B61" s="31" t="s">
        <v>117</v>
      </c>
      <c r="C61" s="29" t="s">
        <v>116</v>
      </c>
      <c r="D61" s="30">
        <v>7</v>
      </c>
      <c r="E61" s="25"/>
      <c r="F61" s="92" t="s">
        <v>521</v>
      </c>
      <c r="G61" s="22" t="s">
        <v>17</v>
      </c>
      <c r="H61" s="93"/>
      <c r="I61" s="25"/>
      <c r="J61" s="31" t="s">
        <v>308</v>
      </c>
      <c r="K61" s="29" t="s">
        <v>307</v>
      </c>
      <c r="L61" s="30">
        <v>7</v>
      </c>
      <c r="M61" s="25"/>
      <c r="N61" s="31" t="s">
        <v>407</v>
      </c>
      <c r="O61" s="29" t="s">
        <v>406</v>
      </c>
      <c r="P61" s="30">
        <v>7</v>
      </c>
      <c r="Q61" s="25"/>
      <c r="R61" s="30" t="s">
        <v>499</v>
      </c>
      <c r="S61" s="43" t="s">
        <v>498</v>
      </c>
      <c r="T61" s="30">
        <v>7</v>
      </c>
      <c r="V61" s="17"/>
      <c r="W61" s="17"/>
      <c r="X61" s="17"/>
      <c r="Y61" s="17"/>
      <c r="Z61" s="17"/>
    </row>
    <row r="62" spans="1:26" ht="12.75" customHeight="1">
      <c r="A62" s="17"/>
      <c r="B62" s="34" t="s">
        <v>119</v>
      </c>
      <c r="C62" s="32" t="s">
        <v>118</v>
      </c>
      <c r="D62" s="33">
        <v>3</v>
      </c>
      <c r="E62" s="25"/>
      <c r="F62" s="31" t="s">
        <v>210</v>
      </c>
      <c r="G62" s="29" t="s">
        <v>209</v>
      </c>
      <c r="H62" s="30">
        <v>4</v>
      </c>
      <c r="I62" s="25"/>
      <c r="J62" s="34" t="s">
        <v>310</v>
      </c>
      <c r="K62" s="32" t="s">
        <v>309</v>
      </c>
      <c r="L62" s="33">
        <v>6</v>
      </c>
      <c r="M62" s="25"/>
      <c r="N62" s="34" t="s">
        <v>409</v>
      </c>
      <c r="O62" s="32" t="s">
        <v>408</v>
      </c>
      <c r="P62" s="33">
        <v>7</v>
      </c>
      <c r="Q62" s="25"/>
      <c r="R62" s="92" t="s">
        <v>556</v>
      </c>
      <c r="S62" s="22" t="s">
        <v>17</v>
      </c>
      <c r="T62" s="93"/>
      <c r="V62" s="17"/>
      <c r="W62" s="17"/>
      <c r="X62" s="17"/>
      <c r="Y62" s="17"/>
      <c r="Z62" s="17"/>
    </row>
    <row r="63" spans="1:26" ht="12.75" customHeight="1">
      <c r="A63" s="17"/>
      <c r="B63" s="31" t="s">
        <v>121</v>
      </c>
      <c r="C63" s="29" t="s">
        <v>120</v>
      </c>
      <c r="D63" s="30">
        <v>7</v>
      </c>
      <c r="E63" s="25"/>
      <c r="F63" s="34" t="s">
        <v>212</v>
      </c>
      <c r="G63" s="32" t="s">
        <v>211</v>
      </c>
      <c r="H63" s="33">
        <v>5</v>
      </c>
      <c r="I63" s="25"/>
      <c r="J63" s="31" t="s">
        <v>312</v>
      </c>
      <c r="K63" s="29" t="s">
        <v>311</v>
      </c>
      <c r="L63" s="30">
        <v>3</v>
      </c>
      <c r="M63" s="25"/>
      <c r="N63" s="31" t="s">
        <v>411</v>
      </c>
      <c r="O63" s="29" t="s">
        <v>410</v>
      </c>
      <c r="P63" s="30">
        <v>7</v>
      </c>
      <c r="Q63" s="25"/>
      <c r="R63" s="33" t="s">
        <v>501</v>
      </c>
      <c r="S63" s="42" t="s">
        <v>500</v>
      </c>
      <c r="T63" s="33">
        <v>7</v>
      </c>
      <c r="V63" s="17"/>
      <c r="W63" s="17"/>
      <c r="X63" s="17"/>
      <c r="Y63" s="17"/>
      <c r="Z63" s="17"/>
    </row>
    <row r="64" spans="1:26" ht="12.75" customHeight="1">
      <c r="A64" s="17"/>
      <c r="B64" s="34" t="s">
        <v>123</v>
      </c>
      <c r="C64" s="32" t="s">
        <v>122</v>
      </c>
      <c r="D64" s="33">
        <v>6</v>
      </c>
      <c r="E64" s="35"/>
      <c r="F64" s="31" t="s">
        <v>214</v>
      </c>
      <c r="G64" s="29" t="s">
        <v>213</v>
      </c>
      <c r="H64" s="30">
        <v>5</v>
      </c>
      <c r="I64" s="35"/>
      <c r="J64" s="34" t="s">
        <v>314</v>
      </c>
      <c r="K64" s="32" t="s">
        <v>313</v>
      </c>
      <c r="L64" s="33">
        <v>7</v>
      </c>
      <c r="M64" s="35"/>
      <c r="N64" s="34" t="s">
        <v>381</v>
      </c>
      <c r="O64" s="32" t="s">
        <v>412</v>
      </c>
      <c r="P64" s="33">
        <v>7</v>
      </c>
      <c r="Q64" s="35"/>
      <c r="R64" s="112" t="s">
        <v>503</v>
      </c>
      <c r="S64" s="110" t="s">
        <v>502</v>
      </c>
      <c r="T64" s="112">
        <v>7</v>
      </c>
      <c r="U64" s="35"/>
      <c r="V64" s="17"/>
      <c r="W64" s="17"/>
      <c r="X64" s="17"/>
      <c r="Y64" s="17"/>
      <c r="Z64" s="17"/>
    </row>
    <row r="65" spans="1:26" ht="12.75" customHeight="1">
      <c r="A65" s="17"/>
      <c r="B65" s="38" t="s">
        <v>125</v>
      </c>
      <c r="C65" s="36" t="s">
        <v>124</v>
      </c>
      <c r="D65" s="37">
        <v>3</v>
      </c>
      <c r="E65" s="35"/>
      <c r="F65" s="41" t="s">
        <v>216</v>
      </c>
      <c r="G65" s="39" t="s">
        <v>215</v>
      </c>
      <c r="H65" s="40">
        <v>7</v>
      </c>
      <c r="I65" s="35"/>
      <c r="J65" s="38" t="s">
        <v>316</v>
      </c>
      <c r="K65" s="36" t="s">
        <v>315</v>
      </c>
      <c r="L65" s="37">
        <v>7</v>
      </c>
      <c r="M65" s="35"/>
      <c r="N65" s="38" t="s">
        <v>414</v>
      </c>
      <c r="O65" s="36" t="s">
        <v>413</v>
      </c>
      <c r="P65" s="37">
        <v>4</v>
      </c>
      <c r="Q65" s="35"/>
      <c r="R65" s="111"/>
      <c r="S65" s="111"/>
      <c r="T65" s="111"/>
      <c r="U65" s="35"/>
      <c r="V65" s="17"/>
      <c r="W65" s="17"/>
      <c r="X65" s="17"/>
      <c r="Y65" s="17"/>
      <c r="Z65" s="17"/>
    </row>
    <row r="66" spans="1:26" ht="12.75" customHeight="1">
      <c r="A66" s="17"/>
      <c r="B66" s="17"/>
      <c r="C66" s="17"/>
      <c r="D66" s="17"/>
      <c r="E66" s="35"/>
      <c r="F66" s="17"/>
      <c r="G66" s="17"/>
      <c r="H66" s="17"/>
      <c r="I66" s="35"/>
      <c r="J66" s="17"/>
      <c r="K66" s="17"/>
      <c r="L66" s="17"/>
      <c r="M66" s="35"/>
      <c r="N66" s="17"/>
      <c r="O66" s="17"/>
      <c r="P66" s="17"/>
      <c r="Q66" s="35"/>
      <c r="R66" s="17"/>
      <c r="S66" s="17"/>
      <c r="T66" s="17"/>
      <c r="U66" s="35"/>
      <c r="V66" s="17"/>
      <c r="W66" s="17"/>
      <c r="X66" s="17"/>
      <c r="Y66" s="17"/>
      <c r="Z66" s="17"/>
    </row>
    <row r="67" spans="1:26" ht="12.75" customHeight="1">
      <c r="A67" s="17"/>
      <c r="B67" s="35"/>
      <c r="C67" s="35"/>
      <c r="D67" s="35"/>
      <c r="E67" s="35"/>
      <c r="I67" s="35"/>
      <c r="J67" s="94"/>
      <c r="K67" s="95"/>
      <c r="L67" s="94"/>
      <c r="M67" s="35"/>
      <c r="N67" s="94"/>
      <c r="O67" s="95"/>
      <c r="P67" s="94"/>
      <c r="Q67" s="35"/>
      <c r="R67" s="94"/>
      <c r="S67" s="95"/>
      <c r="T67" s="94"/>
      <c r="U67" s="35"/>
      <c r="V67" s="17"/>
      <c r="W67" s="17"/>
      <c r="X67" s="17"/>
      <c r="Y67" s="17"/>
      <c r="Z67" s="17"/>
    </row>
    <row r="68" spans="1:26" ht="12.75" customHeight="1">
      <c r="A68" s="17"/>
      <c r="B68" s="10"/>
      <c r="C68" s="10"/>
      <c r="D68" s="96"/>
      <c r="E68" s="96"/>
      <c r="F68" s="96"/>
      <c r="G68" s="96"/>
      <c r="H68" s="96"/>
      <c r="I68" s="96"/>
      <c r="J68" s="10"/>
      <c r="K68" s="97"/>
      <c r="L68" s="10"/>
      <c r="M68" s="96"/>
      <c r="N68" s="10"/>
      <c r="O68" s="10"/>
      <c r="P68" s="10"/>
      <c r="Q68" s="10"/>
      <c r="R68" s="129" t="s">
        <v>128</v>
      </c>
      <c r="S68" s="106"/>
      <c r="T68" s="107"/>
      <c r="U68" s="35"/>
      <c r="V68" s="17"/>
      <c r="W68" s="17"/>
      <c r="X68" s="17"/>
      <c r="Y68" s="17"/>
      <c r="Z68" s="17"/>
    </row>
    <row r="69" spans="1:26" ht="12.75" customHeight="1">
      <c r="A69" s="17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35"/>
      <c r="V69" s="17"/>
      <c r="W69" s="17"/>
      <c r="X69" s="17"/>
      <c r="Y69" s="17"/>
      <c r="Z69" s="17"/>
    </row>
    <row r="70" spans="1:26" ht="12.75" customHeight="1">
      <c r="A70" s="17"/>
      <c r="B70" s="83"/>
      <c r="C70" s="1"/>
      <c r="D70" s="1"/>
      <c r="E70" s="1"/>
      <c r="F70" s="1"/>
      <c r="G70" s="1"/>
      <c r="H70" s="83"/>
      <c r="I70" s="86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35"/>
      <c r="V70" s="17"/>
      <c r="W70" s="17"/>
      <c r="X70" s="17"/>
      <c r="Y70" s="17"/>
      <c r="Z70" s="17"/>
    </row>
    <row r="71" spans="1:26" ht="12.75" customHeight="1">
      <c r="A71" s="17"/>
      <c r="B71" s="83"/>
      <c r="C71" s="1"/>
      <c r="D71" s="1"/>
      <c r="E71" s="1"/>
      <c r="F71" s="1"/>
      <c r="G71" s="1"/>
      <c r="H71" s="83"/>
      <c r="I71" s="86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35"/>
      <c r="V71" s="17"/>
      <c r="W71" s="17"/>
      <c r="X71" s="17"/>
      <c r="Y71" s="17"/>
      <c r="Z71" s="17"/>
    </row>
    <row r="72" spans="1:26" ht="12.75" customHeight="1">
      <c r="A72" s="17"/>
      <c r="B72" s="83"/>
      <c r="C72" s="125" t="s">
        <v>557</v>
      </c>
      <c r="D72" s="106"/>
      <c r="E72" s="106"/>
      <c r="F72" s="106"/>
      <c r="G72" s="107"/>
      <c r="H72" s="83"/>
      <c r="I72" s="86"/>
      <c r="J72" s="1"/>
      <c r="K72" s="1"/>
      <c r="L72" s="1"/>
      <c r="M72" s="1"/>
      <c r="N72" s="1"/>
      <c r="O72" s="126"/>
      <c r="P72" s="106"/>
      <c r="Q72" s="106"/>
      <c r="R72" s="106"/>
      <c r="S72" s="107"/>
      <c r="T72" s="1"/>
      <c r="U72" s="35"/>
      <c r="V72" s="17"/>
      <c r="W72" s="17"/>
      <c r="X72" s="17"/>
      <c r="Y72" s="17"/>
      <c r="Z72" s="17"/>
    </row>
    <row r="73" spans="1:26" ht="12.75" customHeight="1">
      <c r="A73" s="17"/>
      <c r="B73" s="83"/>
      <c r="C73" s="1"/>
      <c r="D73" s="1"/>
      <c r="E73" s="1"/>
      <c r="F73" s="1"/>
      <c r="G73" s="1"/>
      <c r="H73" s="1"/>
      <c r="I73" s="86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35"/>
      <c r="V73" s="17"/>
      <c r="W73" s="17"/>
      <c r="X73" s="17"/>
      <c r="Y73" s="17"/>
      <c r="Z73" s="17"/>
    </row>
    <row r="74" spans="1:26" ht="12.75" customHeight="1">
      <c r="A74" s="17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35"/>
      <c r="V74" s="17"/>
      <c r="W74" s="17"/>
      <c r="X74" s="17"/>
      <c r="Y74" s="17"/>
      <c r="Z74" s="17"/>
    </row>
    <row r="75" spans="1:26" ht="12.75" customHeight="1">
      <c r="A75" s="17"/>
      <c r="B75" s="1"/>
      <c r="C75" s="127"/>
      <c r="D75" s="106"/>
      <c r="E75" s="106"/>
      <c r="F75" s="106"/>
      <c r="G75" s="107"/>
      <c r="H75" s="1"/>
      <c r="I75" s="1"/>
      <c r="J75" s="1"/>
      <c r="K75" s="1"/>
      <c r="L75" s="1"/>
      <c r="M75" s="86"/>
      <c r="N75" s="1"/>
      <c r="O75" s="128"/>
      <c r="P75" s="106"/>
      <c r="Q75" s="106"/>
      <c r="R75" s="106"/>
      <c r="S75" s="106"/>
      <c r="T75" s="107"/>
      <c r="U75" s="35"/>
      <c r="V75" s="17"/>
      <c r="W75" s="17"/>
      <c r="X75" s="17"/>
      <c r="Y75" s="17"/>
      <c r="Z75" s="17"/>
    </row>
    <row r="76" spans="1:26" ht="12.75" customHeight="1">
      <c r="A76" s="17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35"/>
      <c r="V76" s="17"/>
      <c r="W76" s="17"/>
      <c r="X76" s="17"/>
      <c r="Y76" s="17"/>
      <c r="Z76" s="17"/>
    </row>
    <row r="77" spans="1:26" ht="12.75" customHeight="1">
      <c r="A77" s="17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35"/>
      <c r="V77" s="17"/>
      <c r="W77" s="17"/>
      <c r="X77" s="17"/>
      <c r="Y77" s="17"/>
      <c r="Z77" s="17"/>
    </row>
    <row r="78" spans="1:26" ht="12.75" customHeight="1">
      <c r="A78" s="17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35"/>
      <c r="V78" s="17"/>
      <c r="W78" s="17"/>
      <c r="X78" s="17"/>
      <c r="Y78" s="17"/>
      <c r="Z78" s="17"/>
    </row>
    <row r="79" spans="1:26" ht="12.7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ht="12.75" customHeigh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ht="12.75" customHeight="1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ht="12.75" customHeight="1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ht="12.75" customHeight="1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ht="12.75" customHeight="1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ht="12.75" customHeight="1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ht="12.75" customHeight="1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ht="12.75" customHeight="1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ht="12.75" customHeight="1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ht="12.75" customHeight="1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ht="12.75" customHeight="1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ht="12.75" customHeight="1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ht="12.75" customHeight="1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ht="12.75" customHeight="1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ht="12.75" customHeight="1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ht="12.75" customHeight="1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ht="12.75" customHeight="1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ht="12.75" customHeight="1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ht="12.75" customHeight="1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ht="12.75" customHeight="1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ht="12.75" customHeight="1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ht="12.75" customHeight="1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ht="12.75" customHeight="1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ht="12.75" customHeight="1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ht="12.75" customHeight="1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ht="12.75" customHeight="1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ht="12.75" customHeight="1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ht="12.75" customHeight="1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ht="12.75" customHeight="1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ht="12.75" customHeight="1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ht="12.75" customHeight="1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ht="12.75" customHeight="1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ht="12.75" customHeight="1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ht="12.75" customHeight="1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ht="12.75" customHeight="1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ht="12.75" customHeight="1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ht="12.75" customHeight="1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ht="12.75" customHeight="1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ht="12.75" customHeight="1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ht="12.75" customHeight="1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ht="12.75" customHeight="1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ht="12.75" customHeight="1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ht="12.75" customHeight="1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ht="12.75" customHeight="1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ht="12.75" customHeight="1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ht="12.75" customHeight="1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ht="12.75" customHeight="1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ht="12.75" customHeight="1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ht="12.75" customHeight="1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ht="12.75" customHeight="1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ht="12.75" customHeight="1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ht="12.75" customHeight="1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ht="12.75" customHeight="1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ht="12.75" customHeight="1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ht="12.75" customHeight="1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1:26" ht="12.75" customHeight="1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1:26" ht="12.75" customHeight="1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1:26" ht="12.75" customHeight="1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1:26" ht="12.75" customHeight="1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1:26" ht="12.75" customHeight="1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1:26" ht="12.75" customHeight="1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1:26" ht="12.75" customHeight="1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1:26" ht="12.75" customHeight="1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1:26" ht="12.75" customHeight="1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1:26" ht="12.75" customHeight="1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1:26" ht="12.75" customHeight="1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1:26" ht="12.75" customHeight="1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1:26" ht="12.75" customHeight="1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ht="12.75" customHeight="1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ht="12.75" customHeight="1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ht="12.75" customHeight="1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ht="12.75" customHeight="1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ht="12.75" customHeight="1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ht="12.75" customHeight="1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ht="12.75" customHeight="1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ht="12.75" customHeight="1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ht="12.75" customHeight="1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ht="12.75" customHeight="1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ht="12.75" customHeight="1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ht="12.75" customHeight="1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ht="12.75" customHeight="1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ht="12.75" customHeight="1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ht="12.75" customHeight="1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ht="12.75" customHeight="1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ht="12.75" customHeight="1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ht="12.75" customHeight="1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ht="12.75" customHeight="1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ht="12.75" customHeight="1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ht="12.75" customHeight="1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ht="12.75" customHeight="1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ht="12.75" customHeight="1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ht="12.75" customHeight="1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ht="12.75" customHeight="1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ht="12.75" customHeight="1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ht="12.75" customHeight="1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ht="12.75" customHeight="1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ht="12.75" customHeight="1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ht="12.75" customHeight="1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ht="12.75" customHeight="1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ht="12.75" customHeight="1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ht="12.75" customHeight="1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ht="12.75" customHeight="1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ht="12.75" customHeight="1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ht="12.75" customHeight="1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ht="12.75" customHeight="1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ht="12.75" customHeight="1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ht="12.75" customHeight="1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ht="12.75" customHeight="1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ht="12.75" customHeight="1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ht="12.75" customHeight="1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ht="12.75" customHeight="1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ht="12.75" customHeight="1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ht="12.75" customHeight="1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ht="12.75" customHeight="1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ht="12.75" customHeight="1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ht="12.75" customHeight="1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ht="12.75" customHeight="1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ht="12.75" customHeight="1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ht="12.75" customHeight="1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ht="12.75" customHeight="1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ht="12.75" customHeight="1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1:26" ht="12.75" customHeight="1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1:26" ht="12.75" customHeight="1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1:26" ht="12.75" customHeight="1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1:26" ht="12.75" customHeight="1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1:26" ht="12.75" customHeight="1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1:26" ht="12.75" customHeight="1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1:26" ht="12.75" customHeight="1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1:26" ht="12.75" customHeight="1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1:26" ht="12.75" customHeight="1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1:26" ht="12.75" customHeight="1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1:26" ht="12.75" customHeight="1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1:26" ht="12.75" customHeight="1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1:26" ht="12.75" customHeight="1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1:26" ht="12.75" customHeight="1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ht="12.75" customHeight="1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1:26" ht="12.75" customHeight="1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1:26" ht="12.75" customHeight="1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1:26" ht="12.75" customHeight="1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1:26" ht="12.75" customHeight="1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1:26" ht="12.75" customHeight="1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1:26" ht="12.75" customHeight="1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1:26" ht="12.75" customHeight="1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1:26" ht="12.75" customHeight="1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1:26" ht="12.75" customHeight="1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1:26" ht="12.75" customHeight="1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1:26" ht="12.75" customHeight="1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1:26" ht="12.75" customHeight="1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1:26" ht="12.75" customHeight="1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1:26" ht="12.75" customHeight="1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1:26" ht="12.75" customHeight="1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1:26" ht="12.75" customHeight="1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1:26" ht="12.75" customHeight="1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1:26" ht="12.75" customHeight="1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1:26" ht="12.75" customHeight="1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1:26" ht="12.75" customHeight="1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1:26" ht="12.75" customHeight="1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1:26" ht="12.75" customHeight="1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1:26" ht="12.75" customHeight="1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1:26" ht="12.75" customHeight="1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1:26" ht="12.75" customHeight="1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1:26" ht="12.75" customHeight="1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1:26" ht="12.75" customHeight="1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1:26" ht="12.75" customHeight="1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1:26" ht="12.75" customHeight="1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1:26" ht="12.75" customHeight="1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1:26" ht="12.75" customHeight="1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1:26" ht="12.75" customHeight="1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1:26" ht="12.75" customHeight="1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1:26" ht="12.75" customHeight="1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1:26" ht="12.75" customHeight="1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1:26" ht="12.75" customHeight="1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1:26" ht="12.75" customHeight="1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1:26" ht="12.75" customHeight="1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1:26" ht="12.75" customHeight="1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1:26" ht="12.75" customHeight="1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1:26" ht="12.75" customHeight="1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1:26" ht="12.75" customHeight="1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1:26" ht="12.75" customHeight="1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1:26" ht="12.75" customHeight="1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1:26" ht="12.75" customHeight="1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1:26" ht="12.75" customHeight="1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1:26" ht="12.75" customHeight="1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1:26" ht="12.75" customHeight="1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1:26" ht="12.75" customHeight="1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1:26" ht="12.75" customHeight="1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1:26" ht="12.75" customHeight="1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1:26" ht="12.75" customHeight="1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1:26" ht="12.75" customHeight="1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1:26" ht="12.75" customHeight="1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1:26" ht="12.75" customHeight="1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1:26" ht="12.75" customHeight="1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1:26" ht="12.75" customHeight="1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1:26" ht="12.75" customHeight="1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1:26" ht="12.75" customHeight="1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1:26" ht="12.75" customHeight="1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1:26" ht="12.75" customHeight="1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1:26" ht="12.75" customHeight="1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1:26" ht="12.75" customHeight="1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1:26" ht="12.75" customHeight="1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1:26" ht="12.75" customHeight="1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1:26" ht="12.75" customHeight="1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1:26" ht="12.75" customHeight="1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1:26" ht="12.75" customHeight="1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1:26" ht="12.75" customHeight="1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1:26" ht="12.75" customHeight="1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1:26" ht="12.75" customHeight="1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1:26" ht="12.75" customHeight="1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1:26" ht="12.75" customHeight="1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1:26" ht="12.75" customHeight="1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1:26" ht="12.75" customHeight="1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1:26" ht="12.75" customHeight="1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1:26" ht="12.75" customHeight="1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1:26" ht="12.75" customHeight="1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1:26" ht="12.75" customHeight="1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1:26" ht="12.75" customHeight="1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1:26" ht="12.75" customHeight="1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1:26" ht="12.75" customHeight="1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1:26" ht="12.75" customHeight="1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1:26" ht="12.75" customHeight="1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1:26" ht="12.75" customHeight="1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1:26" ht="12.75" customHeight="1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1:26" ht="12.75" customHeight="1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1:26" ht="12.75" customHeight="1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1:26" ht="12.75" customHeight="1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1:26" ht="12.75" customHeight="1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1:26" ht="12.75" customHeight="1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1:26" ht="12.75" customHeight="1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1:26" ht="12.75" customHeight="1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1:26" ht="12.75" customHeight="1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1:26" ht="12.75" customHeight="1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1:26" ht="12.75" customHeight="1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1:26" ht="12.75" customHeight="1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1:26" ht="12.75" customHeight="1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1:26" ht="12.75" customHeight="1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1:26" ht="12.75" customHeight="1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1:26" ht="12.75" customHeight="1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1:26" ht="12.75" customHeight="1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1:26" ht="12.75" customHeight="1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1:26" ht="12.75" customHeight="1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1:26" ht="12.75" customHeight="1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1:26" ht="12.75" customHeight="1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1:26" ht="12.75" customHeight="1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1:26" ht="12.75" customHeight="1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 ht="12.75" customHeight="1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1:26" ht="12.75" customHeight="1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1:26" ht="12.75" customHeight="1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1:26" ht="12.75" customHeight="1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1:26" ht="12.75" customHeight="1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1:26" ht="12.75" customHeight="1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1:26" ht="12.75" customHeight="1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1:26" ht="12.75" customHeight="1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1:26" ht="12.75" customHeight="1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1:26" ht="12.75" customHeight="1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1:26" ht="12.75" customHeight="1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1:26" ht="12.75" customHeight="1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 ht="12.75" customHeight="1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1:26" ht="12.75" customHeight="1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1:26" ht="12.75" customHeight="1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1:26" ht="12.75" customHeight="1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1:26" ht="12.75" customHeight="1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1:26" ht="12.75" customHeight="1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1:26" ht="12.75" customHeight="1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1:26" ht="12.75" customHeight="1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1:26" ht="12.75" customHeight="1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1:26" ht="12.75" customHeight="1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1:26" ht="12.75" customHeight="1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 ht="12.75" customHeight="1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1:26" ht="12.75" customHeight="1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1:26" ht="12.75" customHeight="1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1:26" ht="12.75" customHeight="1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1:26" ht="12.75" customHeight="1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1:26" ht="12.75" customHeight="1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1:26" ht="12.75" customHeight="1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1:26" ht="12.75" customHeight="1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 ht="12.75" customHeight="1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1:26" ht="12.75" customHeight="1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1:26" ht="12.75" customHeight="1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1:26" ht="12.75" customHeight="1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ht="12.75" customHeight="1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1:26" ht="12.75" customHeight="1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1:26" ht="12.75" customHeight="1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1:26" ht="12.75" customHeight="1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1:26" ht="12.75" customHeight="1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1:26" ht="12.75" customHeight="1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1:26" ht="12.75" customHeight="1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1:26" ht="12.75" customHeight="1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1:26" ht="12.75" customHeight="1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1:26" ht="12.75" customHeight="1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ht="12.75" customHeight="1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ht="12.75" customHeight="1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ht="12.75" customHeight="1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ht="12.75" customHeight="1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ht="12.75" customHeight="1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ht="12.75" customHeight="1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ht="12.75" customHeight="1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ht="12.75" customHeight="1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ht="12.75" customHeight="1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ht="12.75" customHeight="1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ht="12.75" customHeight="1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ht="12.75" customHeight="1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ht="12.75" customHeight="1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ht="12.75" customHeight="1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ht="12.75" customHeight="1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ht="12.75" customHeight="1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ht="12.75" customHeight="1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ht="12.75" customHeight="1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ht="12.75" customHeight="1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ht="12.75" customHeight="1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ht="12.75" customHeight="1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ht="12.75" customHeight="1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ht="12.75" customHeight="1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ht="12.75" customHeight="1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ht="12.75" customHeight="1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ht="12.75" customHeight="1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ht="12.75" customHeight="1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ht="12.75" customHeight="1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ht="12.75" customHeight="1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ht="12.75" customHeight="1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ht="12.75" customHeight="1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ht="12.75" customHeight="1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ht="12.75" customHeight="1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ht="12.75" customHeight="1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ht="12.75" customHeight="1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ht="12.75" customHeight="1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ht="12.75" customHeight="1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ht="12.75" customHeight="1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ht="12.75" customHeight="1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ht="12.75" customHeight="1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ht="12.75" customHeight="1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ht="12.75" customHeight="1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ht="12.75" customHeight="1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ht="12.75" customHeight="1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ht="12.75" customHeight="1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ht="12.75" customHeight="1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ht="12.75" customHeight="1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ht="12.75" customHeight="1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ht="12.75" customHeight="1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ht="12.75" customHeight="1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ht="12.75" customHeight="1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ht="12.75" customHeight="1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ht="12.75" customHeight="1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ht="12.75" customHeight="1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ht="12.75" customHeight="1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ht="12.75" customHeight="1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ht="12.75" customHeight="1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ht="12.75" customHeight="1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ht="12.75" customHeight="1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ht="12.75" customHeight="1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ht="12.75" customHeight="1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ht="12.75" customHeight="1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ht="12.75" customHeight="1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ht="12.75" customHeight="1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ht="12.75" customHeight="1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ht="12.75" customHeight="1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ht="12.75" customHeight="1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ht="12.75" customHeight="1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ht="12.75" customHeight="1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ht="12.75" customHeight="1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ht="12.75" customHeight="1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ht="12.75" customHeight="1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ht="12.75" customHeight="1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ht="12.75" customHeight="1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ht="12.75" customHeight="1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ht="12.75" customHeight="1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ht="12.75" customHeight="1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ht="12.75" customHeight="1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ht="12.75" customHeight="1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ht="12.75" customHeight="1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ht="12.75" customHeight="1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ht="12.75" customHeight="1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ht="12.75" customHeight="1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ht="12.75" customHeight="1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ht="12.75" customHeight="1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ht="12.75" customHeight="1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ht="12.75" customHeight="1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ht="12.75" customHeight="1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ht="12.75" customHeight="1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ht="12.75" customHeight="1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ht="12.75" customHeight="1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ht="12.75" customHeight="1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ht="12.75" customHeight="1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ht="12.75" customHeight="1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ht="12.75" customHeight="1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ht="12.75" customHeight="1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ht="12.75" customHeight="1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ht="12.75" customHeight="1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ht="12.75" customHeight="1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ht="12.75" customHeight="1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ht="12.75" customHeight="1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ht="12.75" customHeight="1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ht="12.75" customHeight="1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ht="12.75" customHeight="1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ht="12.75" customHeight="1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ht="12.75" customHeight="1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ht="12.75" customHeight="1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ht="12.75" customHeight="1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ht="12.75" customHeight="1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ht="12.75" customHeight="1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ht="12.75" customHeight="1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ht="12.75" customHeight="1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ht="12.75" customHeight="1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ht="12.75" customHeight="1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ht="12.75" customHeight="1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ht="12.75" customHeight="1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ht="12.75" customHeight="1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ht="12.75" customHeight="1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ht="12.75" customHeight="1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ht="12.75" customHeight="1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ht="12.75" customHeight="1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ht="12.75" customHeight="1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ht="12.75" customHeight="1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ht="12.75" customHeight="1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ht="12.75" customHeight="1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ht="12.75" customHeight="1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ht="12.75" customHeight="1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ht="12.75" customHeight="1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ht="12.75" customHeight="1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ht="12.75" customHeight="1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ht="12.75" customHeight="1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ht="12.75" customHeight="1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ht="12.75" customHeight="1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ht="12.75" customHeight="1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ht="12.75" customHeight="1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ht="12.75" customHeight="1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ht="12.75" customHeight="1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ht="12.75" customHeight="1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ht="12.75" customHeight="1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ht="12.75" customHeight="1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ht="12.75" customHeight="1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ht="12.75" customHeight="1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ht="12.75" customHeight="1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ht="12.75" customHeight="1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ht="12.75" customHeight="1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ht="12.75" customHeight="1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ht="12.75" customHeight="1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ht="12.75" customHeight="1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ht="12.75" customHeight="1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ht="12.75" customHeight="1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ht="12.75" customHeight="1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ht="12.75" customHeight="1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ht="12.75" customHeight="1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ht="12.75" customHeight="1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ht="12.75" customHeight="1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ht="12.75" customHeight="1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ht="12.75" customHeight="1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ht="12.75" customHeight="1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ht="12.75" customHeight="1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ht="12.75" customHeight="1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ht="12.75" customHeight="1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ht="12.75" customHeight="1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ht="12.75" customHeight="1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ht="12.75" customHeight="1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ht="12.75" customHeight="1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ht="12.75" customHeight="1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ht="12.75" customHeight="1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ht="12.75" customHeight="1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ht="12.75" customHeight="1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ht="12.75" customHeight="1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ht="12.75" customHeight="1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ht="12.75" customHeight="1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ht="12.75" customHeight="1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ht="12.75" customHeight="1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ht="12.75" customHeight="1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ht="12.75" customHeight="1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ht="12.75" customHeight="1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ht="12.75" customHeight="1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ht="12.75" customHeight="1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ht="12.75" customHeight="1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ht="12.75" customHeight="1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ht="12.75" customHeight="1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ht="12.75" customHeight="1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ht="12.75" customHeight="1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ht="12.75" customHeight="1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ht="12.75" customHeight="1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ht="12.75" customHeight="1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ht="12.75" customHeight="1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ht="12.75" customHeight="1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ht="12.75" customHeight="1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ht="12.75" customHeight="1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ht="12.75" customHeight="1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ht="12.75" customHeight="1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ht="12.75" customHeight="1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ht="12.75" customHeight="1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ht="12.75" customHeight="1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ht="12.75" customHeight="1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ht="12.75" customHeight="1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ht="12.75" customHeight="1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ht="12.75" customHeight="1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ht="12.75" customHeight="1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ht="12.75" customHeight="1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ht="12.75" customHeight="1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ht="12.75" customHeight="1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ht="12.75" customHeight="1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ht="12.75" customHeight="1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ht="12.75" customHeight="1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ht="12.75" customHeight="1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ht="12.75" customHeight="1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ht="12.75" customHeight="1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ht="12.75" customHeight="1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ht="12.75" customHeight="1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ht="12.75" customHeight="1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ht="12.75" customHeight="1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ht="12.75" customHeight="1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ht="12.75" customHeight="1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ht="12.75" customHeight="1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ht="12.75" customHeight="1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ht="12.75" customHeight="1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ht="12.75" customHeight="1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ht="12.75" customHeight="1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ht="12.75" customHeight="1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ht="12.75" customHeight="1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ht="12.75" customHeight="1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ht="12.75" customHeight="1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ht="12.75" customHeight="1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ht="12.75" customHeight="1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ht="12.75" customHeight="1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ht="12.75" customHeight="1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ht="12.75" customHeight="1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ht="12.75" customHeight="1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ht="12.75" customHeight="1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ht="12.75" customHeight="1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ht="12.75" customHeight="1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ht="12.75" customHeight="1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ht="12.75" customHeight="1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ht="12.75" customHeight="1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ht="12.75" customHeight="1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ht="12.75" customHeight="1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ht="12.75" customHeight="1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ht="12.75" customHeight="1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ht="12.75" customHeight="1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ht="12.75" customHeight="1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ht="12.75" customHeight="1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ht="12.75" customHeight="1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ht="12.75" customHeight="1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ht="12.75" customHeight="1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ht="12.75" customHeight="1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ht="12.75" customHeight="1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ht="12.75" customHeight="1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ht="12.75" customHeight="1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ht="12.75" customHeight="1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ht="12.75" customHeight="1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ht="12.75" customHeight="1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ht="12.75" customHeight="1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ht="12.75" customHeight="1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ht="12.75" customHeight="1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ht="12.75" customHeight="1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ht="12.75" customHeight="1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ht="12.75" customHeight="1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ht="12.75" customHeight="1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ht="12.75" customHeight="1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ht="12.75" customHeight="1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ht="12.75" customHeight="1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ht="12.75" customHeight="1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ht="12.75" customHeight="1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ht="12.75" customHeight="1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ht="12.75" customHeight="1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ht="12.75" customHeight="1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ht="12.75" customHeight="1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ht="12.75" customHeight="1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ht="12.75" customHeight="1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ht="12.75" customHeight="1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ht="12.75" customHeight="1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ht="12.75" customHeight="1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ht="12.75" customHeight="1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ht="12.75" customHeight="1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ht="12.75" customHeight="1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ht="12.75" customHeight="1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ht="12.75" customHeight="1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ht="12.75" customHeight="1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ht="12.75" customHeight="1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ht="12.75" customHeight="1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ht="12.75" customHeight="1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ht="12.75" customHeight="1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ht="12.75" customHeight="1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ht="12.75" customHeight="1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ht="12.75" customHeight="1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ht="12.75" customHeight="1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ht="12.75" customHeight="1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ht="12.75" customHeight="1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ht="12.75" customHeight="1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ht="12.75" customHeight="1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ht="12.75" customHeight="1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ht="12.75" customHeight="1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ht="12.75" customHeight="1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ht="12.75" customHeight="1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ht="12.75" customHeight="1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ht="12.75" customHeight="1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ht="12.75" customHeight="1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ht="12.75" customHeight="1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ht="12.75" customHeight="1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ht="12.75" customHeight="1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ht="12.75" customHeight="1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ht="12.75" customHeight="1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ht="12.75" customHeight="1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ht="12.75" customHeight="1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ht="12.75" customHeight="1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ht="12.75" customHeight="1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ht="12.75" customHeight="1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ht="12.75" customHeight="1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ht="12.75" customHeight="1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ht="12.75" customHeight="1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ht="12.75" customHeight="1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ht="12.75" customHeight="1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ht="12.75" customHeight="1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ht="12.75" customHeight="1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ht="12.75" customHeight="1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ht="12.75" customHeight="1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ht="12.75" customHeight="1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ht="12.75" customHeight="1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ht="12.75" customHeight="1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ht="12.75" customHeight="1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ht="12.75" customHeight="1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ht="12.75" customHeight="1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ht="12.75" customHeight="1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ht="12.75" customHeight="1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ht="12.75" customHeight="1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ht="12.75" customHeight="1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ht="12.75" customHeight="1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ht="12.75" customHeight="1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ht="12.75" customHeight="1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ht="12.75" customHeight="1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ht="12.75" customHeight="1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ht="12.75" customHeight="1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ht="12.75" customHeight="1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ht="12.75" customHeight="1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ht="12.75" customHeight="1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ht="12.75" customHeight="1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ht="12.75" customHeight="1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ht="12.75" customHeight="1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ht="12.75" customHeight="1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ht="12.75" customHeight="1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ht="12.75" customHeight="1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ht="12.75" customHeight="1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ht="12.75" customHeight="1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ht="12.75" customHeight="1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ht="12.75" customHeight="1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ht="12.75" customHeight="1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ht="12.75" customHeight="1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ht="12.75" customHeight="1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ht="12.75" customHeight="1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ht="12.75" customHeight="1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ht="12.75" customHeight="1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ht="12.75" customHeight="1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ht="12.75" customHeight="1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ht="12.75" customHeight="1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ht="12.75" customHeight="1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ht="12.75" customHeight="1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ht="12.75" customHeight="1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ht="12.75" customHeight="1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ht="12.75" customHeight="1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ht="12.75" customHeight="1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ht="12.75" customHeight="1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ht="12.75" customHeight="1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ht="12.75" customHeight="1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ht="12.75" customHeight="1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ht="12.75" customHeight="1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ht="12.75" customHeight="1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ht="12.75" customHeight="1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ht="12.75" customHeight="1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ht="12.75" customHeight="1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ht="12.75" customHeight="1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ht="12.75" customHeight="1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ht="12.75" customHeight="1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ht="12.75" customHeight="1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ht="12.75" customHeight="1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ht="12.75" customHeight="1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ht="12.75" customHeight="1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ht="12.75" customHeight="1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ht="12.75" customHeight="1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ht="12.75" customHeight="1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ht="12.75" customHeight="1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ht="12.75" customHeight="1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ht="12.75" customHeight="1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ht="12.75" customHeight="1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ht="12.75" customHeight="1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ht="12.75" customHeight="1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ht="12.75" customHeight="1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ht="12.75" customHeight="1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ht="12.75" customHeight="1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ht="12.75" customHeight="1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ht="12.75" customHeight="1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ht="12.75" customHeight="1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ht="12.75" customHeight="1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ht="12.75" customHeight="1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ht="12.75" customHeight="1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ht="12.75" customHeight="1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ht="12.75" customHeight="1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ht="12.75" customHeight="1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ht="12.75" customHeight="1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ht="12.75" customHeight="1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ht="12.75" customHeight="1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ht="12.75" customHeight="1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ht="12.75" customHeight="1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ht="12.75" customHeight="1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ht="12.75" customHeight="1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ht="12.75" customHeight="1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ht="12.75" customHeight="1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ht="12.75" customHeight="1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ht="12.75" customHeight="1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ht="12.75" customHeight="1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ht="12.75" customHeight="1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ht="12.75" customHeight="1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ht="12.75" customHeight="1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ht="12.75" customHeight="1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ht="12.75" customHeight="1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ht="12.75" customHeight="1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ht="12.75" customHeight="1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ht="12.75" customHeight="1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ht="12.75" customHeight="1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ht="12.75" customHeight="1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ht="12.75" customHeight="1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ht="12.75" customHeight="1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ht="12.75" customHeight="1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ht="12.75" customHeight="1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ht="12.75" customHeight="1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ht="12.75" customHeight="1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ht="12.75" customHeight="1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ht="12.75" customHeight="1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ht="12.75" customHeight="1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ht="12.75" customHeight="1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ht="12.75" customHeight="1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ht="12.75" customHeight="1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ht="12.75" customHeight="1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ht="12.75" customHeight="1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ht="12.75" customHeight="1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ht="12.75" customHeight="1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ht="12.75" customHeight="1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ht="12.75" customHeight="1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ht="12.75" customHeight="1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ht="12.75" customHeight="1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ht="12.75" customHeight="1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ht="12.75" customHeight="1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ht="12.75" customHeight="1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ht="12.75" customHeight="1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ht="12.75" customHeight="1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ht="12.75" customHeight="1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ht="12.75" customHeight="1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ht="12.75" customHeight="1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ht="12.75" customHeight="1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ht="12.75" customHeight="1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ht="12.75" customHeight="1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ht="12.75" customHeight="1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ht="12.75" customHeight="1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ht="12.75" customHeight="1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ht="12.75" customHeight="1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ht="12.75" customHeight="1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ht="12.75" customHeight="1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ht="12.75" customHeight="1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ht="12.75" customHeight="1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ht="12.75" customHeight="1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ht="12.75" customHeight="1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ht="12.75" customHeight="1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ht="12.75" customHeight="1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ht="12.75" customHeight="1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ht="12.75" customHeight="1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ht="12.75" customHeight="1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ht="12.75" customHeight="1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ht="12.75" customHeight="1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ht="12.75" customHeight="1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ht="12.75" customHeight="1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ht="12.75" customHeight="1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ht="12.75" customHeight="1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ht="12.75" customHeight="1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ht="12.75" customHeight="1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ht="12.75" customHeight="1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ht="12.75" customHeight="1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ht="12.75" customHeight="1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ht="12.75" customHeight="1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ht="12.75" customHeight="1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ht="12.75" customHeight="1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ht="12.75" customHeight="1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ht="12.75" customHeight="1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ht="12.75" customHeight="1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ht="12.75" customHeight="1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ht="12.75" customHeight="1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ht="12.75" customHeight="1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ht="12.75" customHeight="1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ht="12.75" customHeight="1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ht="12.75" customHeight="1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ht="12.75" customHeight="1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ht="12.75" customHeight="1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ht="12.75" customHeight="1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ht="12.75" customHeight="1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ht="12.75" customHeight="1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ht="12.75" customHeight="1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ht="12.75" customHeight="1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ht="12.75" customHeight="1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ht="12.75" customHeight="1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ht="12.75" customHeight="1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ht="12.75" customHeight="1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ht="12.75" customHeight="1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ht="12.75" customHeight="1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ht="12.75" customHeight="1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ht="12.75" customHeight="1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ht="12.75" customHeight="1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ht="12.75" customHeight="1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ht="12.75" customHeight="1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ht="12.75" customHeight="1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ht="12.75" customHeight="1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ht="12.75" customHeight="1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ht="12.75" customHeight="1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ht="12.75" customHeight="1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ht="12.75" customHeight="1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ht="12.75" customHeight="1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ht="12.75" customHeight="1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ht="12.75" customHeight="1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ht="12.75" customHeight="1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ht="12.75" customHeight="1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ht="12.75" customHeight="1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ht="12.75" customHeight="1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ht="12.75" customHeight="1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ht="12.75" customHeight="1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ht="12.75" customHeight="1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ht="12.75" customHeight="1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ht="12.75" customHeight="1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ht="12.75" customHeight="1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ht="12.75" customHeight="1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ht="12.75" customHeight="1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ht="12.75" customHeight="1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ht="12.75" customHeight="1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ht="12.75" customHeight="1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ht="12.75" customHeight="1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ht="12.75" customHeight="1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ht="12.75" customHeight="1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ht="12.75" customHeight="1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ht="12.75" customHeight="1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ht="12.75" customHeight="1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ht="12.75" customHeight="1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ht="12.75" customHeight="1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ht="12.75" customHeight="1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ht="12.75" customHeight="1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ht="12.75" customHeight="1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ht="12.75" customHeight="1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ht="12.75" customHeight="1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ht="12.75" customHeight="1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ht="12.75" customHeight="1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ht="12.75" customHeight="1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ht="12.75" customHeight="1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ht="12.75" customHeight="1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ht="12.75" customHeight="1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ht="12.75" customHeight="1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ht="12.75" customHeight="1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ht="12.75" customHeight="1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ht="12.75" customHeight="1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ht="12.75" customHeight="1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ht="12.75" customHeight="1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ht="12.75" customHeight="1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ht="12.75" customHeight="1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ht="12.75" customHeight="1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ht="12.75" customHeight="1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ht="12.75" customHeight="1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ht="12.75" customHeight="1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ht="12.75" customHeight="1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ht="12.75" customHeight="1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ht="12.75" customHeight="1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ht="12.75" customHeight="1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ht="12.75" customHeight="1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ht="12.75" customHeight="1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ht="12.75" customHeight="1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ht="12.75" customHeight="1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ht="12.75" customHeight="1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ht="12.75" customHeight="1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ht="12.75" customHeight="1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ht="12.75" customHeight="1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ht="12.75" customHeight="1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ht="12.75" customHeight="1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ht="12.75" customHeight="1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ht="12.75" customHeight="1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ht="12.75" customHeight="1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ht="12.75" customHeight="1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ht="12.75" customHeight="1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ht="12.75" customHeight="1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ht="12.75" customHeight="1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ht="12.75" customHeight="1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ht="12.75" customHeight="1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ht="12.75" customHeight="1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ht="12.75" customHeight="1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ht="12.75" customHeight="1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ht="12.75" customHeight="1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ht="12.75" customHeight="1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ht="12.75" customHeight="1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ht="12.75" customHeight="1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ht="12.75" customHeight="1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ht="12.75" customHeight="1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ht="12.75" customHeight="1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ht="12.75" customHeight="1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ht="12.75" customHeight="1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ht="12.75" customHeight="1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ht="12.75" customHeight="1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ht="12.75" customHeight="1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ht="12.75" customHeight="1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ht="12.75" customHeight="1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ht="12.75" customHeight="1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ht="12.75" customHeight="1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ht="12.75" customHeight="1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ht="12.75" customHeight="1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ht="12.75" customHeight="1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ht="12.75" customHeight="1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ht="12.75" customHeight="1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ht="12.75" customHeight="1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ht="12.75" customHeight="1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ht="12.75" customHeight="1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ht="12.75" customHeight="1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ht="12.75" customHeight="1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ht="12.75" customHeight="1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ht="12.75" customHeight="1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ht="12.75" customHeight="1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ht="12.75" customHeight="1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ht="12.75" customHeight="1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ht="12.75" customHeight="1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ht="12.75" customHeight="1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ht="12.75" customHeight="1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ht="12.75" customHeight="1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ht="12.75" customHeight="1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ht="12.75" customHeight="1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ht="12.75" customHeight="1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ht="12.75" customHeight="1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ht="12.75" customHeight="1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ht="12.75" customHeight="1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ht="12.75" customHeight="1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</sheetData>
  <mergeCells count="11">
    <mergeCell ref="C72:G72"/>
    <mergeCell ref="O72:S72"/>
    <mergeCell ref="C75:G75"/>
    <mergeCell ref="O75:T75"/>
    <mergeCell ref="B3:F3"/>
    <mergeCell ref="G3:K3"/>
    <mergeCell ref="R4:T4"/>
    <mergeCell ref="R64:R65"/>
    <mergeCell ref="S64:S65"/>
    <mergeCell ref="T64:T65"/>
    <mergeCell ref="R68:T68"/>
  </mergeCells>
  <pageMargins left="0.511811024" right="0.511811024" top="0.78740157499999996" bottom="0.78740157499999996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Consulta</vt:lpstr>
      <vt:lpstr>Guia - Out2</vt:lpstr>
      <vt:lpstr>Exportacao</vt:lpstr>
      <vt:lpstr>Importacao</vt:lpstr>
      <vt:lpstr>Paises</vt:lpstr>
      <vt:lpstr>pais</vt:lpstr>
      <vt:lpstr>pasos</vt:lpstr>
      <vt:lpstr>tabela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femorais</dc:creator>
  <cp:lastModifiedBy>Antonio Oliveira</cp:lastModifiedBy>
  <dcterms:created xsi:type="dcterms:W3CDTF">2014-04-15T18:53:05Z</dcterms:created>
  <dcterms:modified xsi:type="dcterms:W3CDTF">2024-04-27T18:54:31Z</dcterms:modified>
</cp:coreProperties>
</file>